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system\cbs_micro\files\templates\excels\"/>
    </mc:Choice>
  </mc:AlternateContent>
  <workbookProtection workbookAlgorithmName="SHA-512" workbookHashValue="ipKdcBiiFv2AFCliYTVzMpIyiyX5AI8H2SfD7vDQ5tQHzQu7WySQJyzBHM0bvNWNgLkAFZzIJUi5ebzGk1/zeg==" workbookSaltValue="icvkqtpzy+CkBoMn79tOCQ==" workbookSpinCount="100000" lockStructure="1"/>
  <bookViews>
    <workbookView xWindow="-120" yWindow="-120" windowWidth="29040" windowHeight="15840" tabRatio="845" activeTab="1"/>
  </bookViews>
  <sheets>
    <sheet name="ChiDan" sheetId="19" r:id="rId1"/>
    <sheet name="DataImport" sheetId="8" r:id="rId2"/>
    <sheet name="Export" sheetId="15" r:id="rId3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8" l="1"/>
  <c r="I4" i="8"/>
  <c r="H5" i="8"/>
  <c r="I5" i="8"/>
  <c r="H6" i="8"/>
  <c r="I6" i="8"/>
  <c r="H3" i="8"/>
  <c r="H8" i="8"/>
  <c r="I3" i="8"/>
  <c r="I8" i="8"/>
  <c r="H9" i="8"/>
  <c r="I9" i="8"/>
  <c r="H10" i="8"/>
  <c r="I10" i="8"/>
  <c r="I7" i="8"/>
  <c r="H7" i="8"/>
</calcChain>
</file>

<file path=xl/comments1.xml><?xml version="1.0" encoding="utf-8"?>
<comments xmlns="http://schemas.openxmlformats.org/spreadsheetml/2006/main">
  <authors>
    <author>-‘๑’- ღ ßi Smile ღ ™</author>
  </authors>
  <commentList>
    <comment ref="K2" authorId="0" shapeId="0">
      <text>
        <r>
          <rPr>
            <sz val="9"/>
            <color indexed="81"/>
            <rFont val="Tahoma"/>
            <family val="2"/>
          </rPr>
          <t>1-Tiến độ thông thường
2-Mốc
3-Phân nhóm/gói</t>
        </r>
      </text>
    </comment>
    <comment ref="S2" authorId="0" shapeId="0">
      <text>
        <r>
          <rPr>
            <b/>
            <sz val="9"/>
            <color indexed="81"/>
            <rFont val="Tahoma"/>
            <family val="2"/>
          </rPr>
          <t>-‘๑’- ღ ßi Smile ღ ™:</t>
        </r>
        <r>
          <rPr>
            <sz val="9"/>
            <color indexed="81"/>
            <rFont val="Tahoma"/>
            <family val="2"/>
          </rPr>
          <t xml:space="preserve">
Nháp: 1
Chính thức: 0</t>
        </r>
      </text>
    </comment>
  </commentList>
</comments>
</file>

<file path=xl/sharedStrings.xml><?xml version="1.0" encoding="utf-8"?>
<sst xmlns="http://schemas.openxmlformats.org/spreadsheetml/2006/main" count="92" uniqueCount="47">
  <si>
    <t>TT</t>
  </si>
  <si>
    <t>Ghi chú</t>
  </si>
  <si>
    <t>ID</t>
  </si>
  <si>
    <t>Nội dung</t>
  </si>
  <si>
    <t>BẢNG CHỈ DẪN IMPORT CÔNG VIỆC VÀO DỰ ÁN/PHÒNG BAN</t>
  </si>
  <si>
    <t>B1</t>
  </si>
  <si>
    <t>Tải mẫu import từ hệ thống</t>
  </si>
  <si>
    <t>B2</t>
  </si>
  <si>
    <t>B3</t>
  </si>
  <si>
    <t>Import dữ liệu để tạo nhanh từ excel</t>
  </si>
  <si>
    <t>(Nếu báo lỗi không import được thì kiểm tra lại việc khai báo thông tin để đảm bảo chính xác/đầy đủ)</t>
  </si>
  <si>
    <t>Tên nhóm dữ liệu</t>
  </si>
  <si>
    <t>Tên người thực hiện</t>
  </si>
  <si>
    <t>Mẫu import cần được tải theo từng Dự án</t>
  </si>
  <si>
    <t>DANH SÁCH CÔNG VIỆC</t>
  </si>
  <si>
    <t>Nhóm dữ liệu</t>
  </si>
  <si>
    <t>Người thực hiện</t>
  </si>
  <si>
    <t>Sau khi khai báo xong, bấm Update để khởi tạo dữ liệu cho hệ thống nhận diện</t>
  </si>
  <si>
    <t>B4</t>
  </si>
  <si>
    <t>Email người liên quan</t>
  </si>
  <si>
    <t>Kế hoạch bắt đầu</t>
  </si>
  <si>
    <t>Kế hoạch kết thúc</t>
  </si>
  <si>
    <t>Bắt đầu</t>
  </si>
  <si>
    <t>Kết thúc</t>
  </si>
  <si>
    <t>Công việc</t>
  </si>
  <si>
    <t>Công việc 1</t>
  </si>
  <si>
    <t>Công việc 2</t>
  </si>
  <si>
    <t>Mã hiệu</t>
  </si>
  <si>
    <t>Thuộc hợp đồng</t>
  </si>
  <si>
    <t>Tên hợp đồng</t>
  </si>
  <si>
    <t>NTCV1</t>
  </si>
  <si>
    <t>NTCV2</t>
  </si>
  <si>
    <t>NTCV3</t>
  </si>
  <si>
    <t>Phân loại tiến độ</t>
  </si>
  <si>
    <t>Khai báo đủ thông tin Nhóm dữ liệu/Người thực hiện/Ngày kết thúc/Hợp đồng
Các tên này phải tồn tại trong sheet "Export"</t>
  </si>
  <si>
    <t>human1.trx@gmail.com, human2.trx@gmail.com</t>
  </si>
  <si>
    <t>Tạo danh sách công việc (tối đa 300 công việc)</t>
  </si>
  <si>
    <t>Công việc con (nếu có)</t>
  </si>
  <si>
    <t>Công việc 11</t>
  </si>
  <si>
    <t>Công việc 12</t>
  </si>
  <si>
    <t>Công việc 13</t>
  </si>
  <si>
    <t>Công việc 21</t>
  </si>
  <si>
    <t>Công việc 22</t>
  </si>
  <si>
    <t>Công việc 23</t>
  </si>
  <si>
    <t>Việc nháp/Chính thức</t>
  </si>
  <si>
    <t>Mô tả</t>
  </si>
  <si>
    <t>Nội dung mô tả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</si>
</sst>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Times New Roman"/>
      <family val="2"/>
      <charset val="163"/>
    </font>
    <font>
      <b/>
      <sz val="12"/>
      <color theme="1"/>
      <name val="Times New Roman"/>
      <family val="1"/>
    </font>
    <font>
      <u/>
      <sz val="12"/>
      <color theme="10"/>
      <name val="Times New Roman"/>
      <family val="2"/>
      <charset val="163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sz val="8"/>
      <name val="Times New Roman"/>
      <family val="2"/>
      <charset val="163"/>
    </font>
    <font>
      <b/>
      <sz val="12"/>
      <name val="Times New Roman"/>
      <family val="1"/>
    </font>
    <font>
      <sz val="12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theme="3" tint="0.39997558519241921"/>
      <name val="Times New Roman"/>
      <family val="1"/>
    </font>
    <font>
      <sz val="12"/>
      <color theme="3" tint="0.39997558519241921"/>
      <name val="Times New Roman"/>
      <family val="1"/>
    </font>
    <font>
      <b/>
      <u/>
      <sz val="12"/>
      <color theme="10"/>
      <name val="Times New Roman"/>
      <family val="1"/>
    </font>
    <font>
      <sz val="12"/>
      <color rgb="FF0000FF"/>
      <name val="Times New Roman"/>
      <family val="1"/>
    </font>
    <font>
      <sz val="9"/>
      <color indexed="81"/>
      <name val="Tahoma"/>
      <family val="2"/>
    </font>
    <font>
      <sz val="12"/>
      <color rgb="FFFF0000"/>
      <name val="Times New Roman"/>
      <family val="1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/>
  </cellStyleXfs>
  <cellXfs count="48">
    <xf numFmtId="0" fontId="0" fillId="0" borderId="0" xfId="0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1" xfId="0" applyFont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6" fillId="0" borderId="0" xfId="0" applyFont="1" applyBorder="1" applyAlignment="1">
      <alignment vertical="top"/>
    </xf>
    <xf numFmtId="0" fontId="7" fillId="0" borderId="0" xfId="0" applyFont="1" applyAlignment="1">
      <alignment vertical="top" wrapText="1"/>
    </xf>
    <xf numFmtId="0" fontId="6" fillId="3" borderId="2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/>
    </xf>
    <xf numFmtId="0" fontId="3" fillId="4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6" fillId="3" borderId="2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top" wrapText="1"/>
    </xf>
    <xf numFmtId="0" fontId="8" fillId="2" borderId="0" xfId="0" applyFont="1" applyFill="1" applyAlignment="1">
      <alignment vertical="top"/>
    </xf>
    <xf numFmtId="0" fontId="9" fillId="0" borderId="0" xfId="0" applyFont="1" applyAlignment="1">
      <alignment vertical="top"/>
    </xf>
    <xf numFmtId="14" fontId="6" fillId="3" borderId="2" xfId="0" applyNumberFormat="1" applyFont="1" applyFill="1" applyBorder="1" applyAlignment="1">
      <alignment horizontal="center" vertical="top" wrapText="1"/>
    </xf>
    <xf numFmtId="14" fontId="7" fillId="0" borderId="1" xfId="0" applyNumberFormat="1" applyFont="1" applyBorder="1" applyAlignment="1">
      <alignment vertical="center" wrapText="1"/>
    </xf>
    <xf numFmtId="14" fontId="7" fillId="0" borderId="0" xfId="0" applyNumberFormat="1" applyFont="1" applyAlignment="1">
      <alignment vertical="top" wrapText="1"/>
    </xf>
    <xf numFmtId="0" fontId="7" fillId="0" borderId="0" xfId="0" applyFont="1" applyBorder="1" applyAlignment="1">
      <alignment vertical="top" wrapText="1"/>
    </xf>
    <xf numFmtId="0" fontId="6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vertical="center" wrapText="1"/>
    </xf>
    <xf numFmtId="49" fontId="7" fillId="0" borderId="0" xfId="0" applyNumberFormat="1" applyFont="1" applyBorder="1" applyAlignment="1">
      <alignment vertical="top" wrapText="1"/>
    </xf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7" fillId="5" borderId="1" xfId="0" applyFont="1" applyFill="1" applyBorder="1" applyAlignment="1">
      <alignment vertical="center" wrapText="1"/>
    </xf>
    <xf numFmtId="0" fontId="11" fillId="3" borderId="2" xfId="0" applyFont="1" applyFill="1" applyBorder="1" applyAlignment="1">
      <alignment horizontal="center" vertical="top" wrapText="1"/>
    </xf>
    <xf numFmtId="0" fontId="12" fillId="0" borderId="0" xfId="0" applyFont="1" applyAlignment="1">
      <alignment vertical="top" wrapText="1"/>
    </xf>
    <xf numFmtId="49" fontId="7" fillId="2" borderId="0" xfId="0" applyNumberFormat="1" applyFont="1" applyFill="1" applyAlignment="1">
      <alignment horizontal="center" vertical="top" wrapText="1"/>
    </xf>
    <xf numFmtId="0" fontId="6" fillId="5" borderId="1" xfId="0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14" fontId="6" fillId="5" borderId="1" xfId="0" applyNumberFormat="1" applyFont="1" applyFill="1" applyBorder="1" applyAlignment="1">
      <alignment vertical="center" wrapText="1"/>
    </xf>
    <xf numFmtId="11" fontId="7" fillId="0" borderId="0" xfId="0" applyNumberFormat="1" applyFont="1" applyBorder="1" applyAlignment="1">
      <alignment vertical="top" wrapText="1"/>
    </xf>
    <xf numFmtId="11" fontId="7" fillId="0" borderId="0" xfId="0" applyNumberFormat="1" applyFont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7" fillId="2" borderId="0" xfId="0" applyNumberFormat="1" applyFont="1" applyFill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13" fillId="5" borderId="1" xfId="1" applyFont="1" applyFill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0" fontId="16" fillId="0" borderId="0" xfId="0" applyFont="1" applyBorder="1" applyAlignment="1">
      <alignment vertical="top" wrapText="1"/>
    </xf>
    <xf numFmtId="3" fontId="16" fillId="0" borderId="0" xfId="0" applyNumberFormat="1" applyFont="1" applyBorder="1" applyAlignment="1">
      <alignment vertical="top" wrapText="1"/>
    </xf>
    <xf numFmtId="3" fontId="7" fillId="2" borderId="0" xfId="0" applyNumberFormat="1" applyFont="1" applyFill="1" applyAlignment="1">
      <alignment horizontal="center" vertical="top" wrapText="1"/>
    </xf>
    <xf numFmtId="3" fontId="7" fillId="0" borderId="0" xfId="0" applyNumberFormat="1" applyFont="1" applyBorder="1" applyAlignment="1">
      <alignment vertical="top" wrapText="1"/>
    </xf>
    <xf numFmtId="3" fontId="7" fillId="0" borderId="0" xfId="0" applyNumberFormat="1" applyFont="1" applyAlignment="1">
      <alignment vertical="top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1695450</xdr:colOff>
          <xdr:row>1</xdr:row>
          <xdr:rowOff>9525</xdr:rowOff>
        </xdr:from>
        <xdr:to>
          <xdr:col>3</xdr:col>
          <xdr:colOff>2343150</xdr:colOff>
          <xdr:row>1</xdr:row>
          <xdr:rowOff>390525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mailto:toannd.trixgo@gmail.com,toannd.trixgo@gmail.com" TargetMode="External"/><Relationship Id="rId1" Type="http://schemas.openxmlformats.org/officeDocument/2006/relationships/hyperlink" Target="mailto:toannd.trixgo@gmail.com,toannd.trixgo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0"/>
  <dimension ref="A1:C6"/>
  <sheetViews>
    <sheetView workbookViewId="0">
      <selection activeCell="C28" sqref="C28"/>
    </sheetView>
  </sheetViews>
  <sheetFormatPr defaultRowHeight="15.75" x14ac:dyDescent="0.25"/>
  <cols>
    <col min="1" max="1" width="4.875" style="10" customWidth="1"/>
    <col min="2" max="2" width="30.25" style="11" customWidth="1"/>
    <col min="3" max="3" width="55" style="11" customWidth="1"/>
    <col min="4" max="16384" width="9" style="10"/>
  </cols>
  <sheetData>
    <row r="1" spans="1:3" x14ac:dyDescent="0.25">
      <c r="A1" s="1" t="s">
        <v>4</v>
      </c>
    </row>
    <row r="2" spans="1:3" s="1" customFormat="1" x14ac:dyDescent="0.25">
      <c r="A2" s="2" t="s">
        <v>0</v>
      </c>
      <c r="B2" s="3" t="s">
        <v>3</v>
      </c>
      <c r="C2" s="3" t="s">
        <v>1</v>
      </c>
    </row>
    <row r="3" spans="1:3" x14ac:dyDescent="0.25">
      <c r="A3" s="13" t="s">
        <v>5</v>
      </c>
      <c r="B3" s="14" t="s">
        <v>6</v>
      </c>
      <c r="C3" s="14" t="s">
        <v>13</v>
      </c>
    </row>
    <row r="4" spans="1:3" ht="47.25" x14ac:dyDescent="0.25">
      <c r="A4" s="13" t="s">
        <v>7</v>
      </c>
      <c r="B4" s="14" t="s">
        <v>36</v>
      </c>
      <c r="C4" s="14" t="s">
        <v>34</v>
      </c>
    </row>
    <row r="5" spans="1:3" ht="47.25" x14ac:dyDescent="0.25">
      <c r="A5" s="13" t="s">
        <v>8</v>
      </c>
      <c r="B5" s="14" t="s">
        <v>17</v>
      </c>
      <c r="C5" s="14"/>
    </row>
    <row r="6" spans="1:3" ht="31.5" x14ac:dyDescent="0.25">
      <c r="A6" s="13" t="s">
        <v>18</v>
      </c>
      <c r="B6" s="14" t="s">
        <v>9</v>
      </c>
      <c r="C6" s="15" t="s">
        <v>10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>
    <tabColor rgb="FFFFFF00"/>
  </sheetPr>
  <dimension ref="A1:S10"/>
  <sheetViews>
    <sheetView tabSelected="1" zoomScale="70" zoomScaleNormal="70" workbookViewId="0">
      <pane ySplit="2" topLeftCell="A3" activePane="bottomLeft" state="frozen"/>
      <selection pane="bottomLeft" activeCell="L7" sqref="L7:L10"/>
    </sheetView>
  </sheetViews>
  <sheetFormatPr defaultRowHeight="15.75" x14ac:dyDescent="0.25"/>
  <cols>
    <col min="1" max="2" width="4.25" style="28" customWidth="1"/>
    <col min="3" max="3" width="20.375" style="6" customWidth="1"/>
    <col min="4" max="4" width="31" style="6" customWidth="1"/>
    <col min="5" max="5" width="21.125" style="6" customWidth="1"/>
    <col min="6" max="6" width="17.75" style="6" customWidth="1"/>
    <col min="7" max="7" width="28.125" style="31" customWidth="1"/>
    <col min="8" max="9" width="10.875" style="21" bestFit="1" customWidth="1"/>
    <col min="10" max="10" width="16.875" style="6" customWidth="1"/>
    <col min="11" max="11" width="11" style="6" customWidth="1"/>
    <col min="12" max="12" width="17.125" style="6" customWidth="1"/>
    <col min="13" max="13" width="23.375" style="6" customWidth="1"/>
    <col min="14" max="15" width="11.75" style="40" customWidth="1"/>
    <col min="16" max="17" width="11.75" style="27" customWidth="1"/>
    <col min="18" max="18" width="11.75" style="6" customWidth="1"/>
    <col min="19" max="19" width="15.5" style="47" customWidth="1"/>
    <col min="20" max="16384" width="9" style="6"/>
  </cols>
  <sheetData>
    <row r="1" spans="1:19" s="22" customFormat="1" x14ac:dyDescent="0.25">
      <c r="A1" s="5" t="s">
        <v>14</v>
      </c>
      <c r="B1" s="5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4"/>
    </row>
    <row r="2" spans="1:19" s="23" customFormat="1" ht="31.5" x14ac:dyDescent="0.25">
      <c r="A2" s="7"/>
      <c r="B2" s="7"/>
      <c r="C2" s="12" t="s">
        <v>24</v>
      </c>
      <c r="D2" s="12" t="s">
        <v>37</v>
      </c>
      <c r="E2" s="7" t="s">
        <v>15</v>
      </c>
      <c r="F2" s="7" t="s">
        <v>16</v>
      </c>
      <c r="G2" s="30" t="s">
        <v>19</v>
      </c>
      <c r="H2" s="19" t="s">
        <v>22</v>
      </c>
      <c r="I2" s="19" t="s">
        <v>23</v>
      </c>
      <c r="J2" s="7" t="s">
        <v>27</v>
      </c>
      <c r="K2" s="7" t="s">
        <v>33</v>
      </c>
      <c r="L2" s="7" t="s">
        <v>45</v>
      </c>
      <c r="M2" s="7" t="s">
        <v>28</v>
      </c>
      <c r="N2" s="39" t="s">
        <v>15</v>
      </c>
      <c r="O2" s="39" t="s">
        <v>16</v>
      </c>
      <c r="P2" s="32" t="s">
        <v>20</v>
      </c>
      <c r="Q2" s="32" t="s">
        <v>21</v>
      </c>
      <c r="R2" s="32" t="s">
        <v>28</v>
      </c>
      <c r="S2" s="45" t="s">
        <v>44</v>
      </c>
    </row>
    <row r="3" spans="1:19" s="22" customFormat="1" ht="31.5" x14ac:dyDescent="0.25">
      <c r="A3" s="24">
        <v>1</v>
      </c>
      <c r="B3" s="24"/>
      <c r="C3" s="33" t="s">
        <v>25</v>
      </c>
      <c r="D3" s="33"/>
      <c r="E3" s="34" t="s">
        <v>11</v>
      </c>
      <c r="F3" s="33" t="s">
        <v>12</v>
      </c>
      <c r="G3" s="41" t="s">
        <v>35</v>
      </c>
      <c r="H3" s="35">
        <f ca="1">MIN(H4:H6)</f>
        <v>44831</v>
      </c>
      <c r="I3" s="35">
        <f ca="1">MAX(I4:I6)</f>
        <v>44846</v>
      </c>
      <c r="J3" s="33" t="s">
        <v>30</v>
      </c>
      <c r="K3" s="33">
        <v>3</v>
      </c>
      <c r="L3" s="33" t="s">
        <v>46</v>
      </c>
      <c r="M3" s="29" t="s">
        <v>29</v>
      </c>
      <c r="N3" s="40"/>
      <c r="O3" s="40"/>
      <c r="P3" s="26"/>
      <c r="Q3" s="26"/>
      <c r="S3" s="46">
        <v>0</v>
      </c>
    </row>
    <row r="4" spans="1:19" s="22" customFormat="1" ht="31.5" x14ac:dyDescent="0.25">
      <c r="A4" s="24"/>
      <c r="B4" s="24">
        <v>1</v>
      </c>
      <c r="C4" s="25"/>
      <c r="D4" s="25" t="s">
        <v>38</v>
      </c>
      <c r="E4" s="38" t="s">
        <v>11</v>
      </c>
      <c r="F4" s="38" t="s">
        <v>12</v>
      </c>
      <c r="G4" s="42" t="s">
        <v>35</v>
      </c>
      <c r="H4" s="20">
        <f t="shared" ref="H4" ca="1" si="0">TODAY()</f>
        <v>44831</v>
      </c>
      <c r="I4" s="20">
        <f ca="1">+H4+5</f>
        <v>44836</v>
      </c>
      <c r="J4" s="25" t="s">
        <v>30</v>
      </c>
      <c r="K4" s="25">
        <v>1</v>
      </c>
      <c r="L4" s="25" t="s">
        <v>46</v>
      </c>
      <c r="M4" s="25" t="s">
        <v>29</v>
      </c>
      <c r="N4" s="40"/>
      <c r="O4" s="37"/>
      <c r="P4" s="26"/>
      <c r="Q4" s="26"/>
      <c r="R4" s="36"/>
      <c r="S4" s="46">
        <v>0</v>
      </c>
    </row>
    <row r="5" spans="1:19" s="22" customFormat="1" ht="31.5" x14ac:dyDescent="0.25">
      <c r="A5" s="24"/>
      <c r="B5" s="24">
        <v>1</v>
      </c>
      <c r="C5" s="25"/>
      <c r="D5" s="25" t="s">
        <v>39</v>
      </c>
      <c r="E5" s="38" t="s">
        <v>11</v>
      </c>
      <c r="F5" s="38" t="s">
        <v>12</v>
      </c>
      <c r="G5" s="42" t="s">
        <v>35</v>
      </c>
      <c r="H5" s="20">
        <f ca="1">I4</f>
        <v>44836</v>
      </c>
      <c r="I5" s="20">
        <f t="shared" ref="I5:I6" ca="1" si="1">+H5+5</f>
        <v>44841</v>
      </c>
      <c r="J5" s="25" t="s">
        <v>31</v>
      </c>
      <c r="K5" s="25">
        <v>1</v>
      </c>
      <c r="L5" s="25" t="s">
        <v>46</v>
      </c>
      <c r="M5" s="25" t="s">
        <v>29</v>
      </c>
      <c r="N5" s="40"/>
      <c r="O5" s="40"/>
      <c r="P5" s="26"/>
      <c r="Q5" s="26"/>
      <c r="R5" s="36"/>
      <c r="S5" s="46">
        <v>0</v>
      </c>
    </row>
    <row r="6" spans="1:19" s="22" customFormat="1" ht="31.5" x14ac:dyDescent="0.25">
      <c r="A6" s="24"/>
      <c r="B6" s="24">
        <v>1</v>
      </c>
      <c r="C6" s="25"/>
      <c r="D6" s="25" t="s">
        <v>40</v>
      </c>
      <c r="E6" s="38" t="s">
        <v>11</v>
      </c>
      <c r="F6" s="38" t="s">
        <v>12</v>
      </c>
      <c r="G6" s="42" t="s">
        <v>35</v>
      </c>
      <c r="H6" s="20">
        <f ca="1">I5</f>
        <v>44841</v>
      </c>
      <c r="I6" s="20">
        <f t="shared" ca="1" si="1"/>
        <v>44846</v>
      </c>
      <c r="J6" s="25" t="s">
        <v>32</v>
      </c>
      <c r="K6" s="25">
        <v>1</v>
      </c>
      <c r="L6" s="25" t="s">
        <v>46</v>
      </c>
      <c r="M6" s="25" t="s">
        <v>29</v>
      </c>
      <c r="N6" s="40"/>
      <c r="O6" s="40"/>
      <c r="P6" s="26"/>
      <c r="Q6" s="26"/>
      <c r="R6" s="36"/>
      <c r="S6" s="46">
        <v>0</v>
      </c>
    </row>
    <row r="7" spans="1:19" s="22" customFormat="1" ht="31.5" x14ac:dyDescent="0.25">
      <c r="A7" s="24">
        <v>2</v>
      </c>
      <c r="B7" s="24"/>
      <c r="C7" s="33" t="s">
        <v>26</v>
      </c>
      <c r="D7" s="33"/>
      <c r="E7" s="34" t="s">
        <v>11</v>
      </c>
      <c r="F7" s="33" t="s">
        <v>12</v>
      </c>
      <c r="G7" s="41" t="s">
        <v>35</v>
      </c>
      <c r="H7" s="35">
        <f ca="1">MIN(H8:H10)</f>
        <v>44856</v>
      </c>
      <c r="I7" s="35">
        <f ca="1">MAX(I8:I10)</f>
        <v>44871</v>
      </c>
      <c r="J7" s="33" t="s">
        <v>30</v>
      </c>
      <c r="K7" s="33">
        <v>3</v>
      </c>
      <c r="L7" s="33" t="s">
        <v>46</v>
      </c>
      <c r="M7" s="29" t="s">
        <v>29</v>
      </c>
      <c r="N7" s="40"/>
      <c r="O7" s="40"/>
      <c r="P7" s="26"/>
      <c r="Q7" s="26"/>
      <c r="S7" s="46">
        <v>0</v>
      </c>
    </row>
    <row r="8" spans="1:19" x14ac:dyDescent="0.25">
      <c r="A8" s="24"/>
      <c r="B8" s="24">
        <v>2</v>
      </c>
      <c r="C8" s="25"/>
      <c r="D8" s="25" t="s">
        <v>41</v>
      </c>
      <c r="E8" s="38" t="s">
        <v>11</v>
      </c>
      <c r="F8" s="38" t="s">
        <v>12</v>
      </c>
      <c r="G8" s="42"/>
      <c r="H8" s="20">
        <f ca="1">I6+10</f>
        <v>44856</v>
      </c>
      <c r="I8" s="20">
        <f t="shared" ref="I8:I10" ca="1" si="2">+H8+5</f>
        <v>44861</v>
      </c>
      <c r="J8" s="25" t="s">
        <v>30</v>
      </c>
      <c r="K8" s="25">
        <v>1</v>
      </c>
      <c r="L8" s="25" t="s">
        <v>46</v>
      </c>
      <c r="M8" s="25" t="s">
        <v>29</v>
      </c>
      <c r="O8" s="37"/>
      <c r="R8" s="37"/>
      <c r="S8" s="46">
        <v>0</v>
      </c>
    </row>
    <row r="9" spans="1:19" x14ac:dyDescent="0.25">
      <c r="A9" s="24"/>
      <c r="B9" s="24">
        <v>2</v>
      </c>
      <c r="C9" s="25"/>
      <c r="D9" s="25" t="s">
        <v>42</v>
      </c>
      <c r="E9" s="38" t="s">
        <v>11</v>
      </c>
      <c r="F9" s="38" t="s">
        <v>12</v>
      </c>
      <c r="G9" s="42"/>
      <c r="H9" s="20">
        <f ca="1">I8</f>
        <v>44861</v>
      </c>
      <c r="I9" s="20">
        <f t="shared" ca="1" si="2"/>
        <v>44866</v>
      </c>
      <c r="J9" s="25" t="s">
        <v>31</v>
      </c>
      <c r="K9" s="25">
        <v>1</v>
      </c>
      <c r="L9" s="25" t="s">
        <v>46</v>
      </c>
      <c r="M9" s="25" t="s">
        <v>29</v>
      </c>
      <c r="O9" s="37"/>
      <c r="R9" s="37"/>
      <c r="S9" s="46">
        <v>0</v>
      </c>
    </row>
    <row r="10" spans="1:19" x14ac:dyDescent="0.25">
      <c r="A10" s="24"/>
      <c r="B10" s="24">
        <v>2</v>
      </c>
      <c r="C10" s="25"/>
      <c r="D10" s="25" t="s">
        <v>43</v>
      </c>
      <c r="E10" s="38" t="s">
        <v>11</v>
      </c>
      <c r="F10" s="38" t="s">
        <v>12</v>
      </c>
      <c r="G10" s="42"/>
      <c r="H10" s="20">
        <f ca="1">I9</f>
        <v>44866</v>
      </c>
      <c r="I10" s="20">
        <f t="shared" ca="1" si="2"/>
        <v>44871</v>
      </c>
      <c r="J10" s="25" t="s">
        <v>32</v>
      </c>
      <c r="K10" s="25">
        <v>2</v>
      </c>
      <c r="L10" s="25" t="s">
        <v>46</v>
      </c>
      <c r="M10" s="25" t="s">
        <v>29</v>
      </c>
      <c r="R10" s="37"/>
      <c r="S10" s="46">
        <v>0</v>
      </c>
    </row>
  </sheetData>
  <phoneticPr fontId="5" type="noConversion"/>
  <hyperlinks>
    <hyperlink ref="G4" r:id="rId1" display="toannd.trixgo@gmail.com,toannd.trixgo@gmail.com"/>
    <hyperlink ref="G5:G6" r:id="rId2" display="toannd.trixgo@gmail.com,toannd.trixgo@gmail.com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6" name="Button 2">
              <controlPr defaultSize="0" print="0" autoFill="0" autoPict="0" macro="[0]!update">
                <anchor>
                  <from>
                    <xdr:col>3</xdr:col>
                    <xdr:colOff>1695450</xdr:colOff>
                    <xdr:row>1</xdr:row>
                    <xdr:rowOff>9525</xdr:rowOff>
                  </from>
                  <to>
                    <xdr:col>3</xdr:col>
                    <xdr:colOff>2343150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A1:H1"/>
  <sheetViews>
    <sheetView zoomScale="85" zoomScaleNormal="85" workbookViewId="0">
      <selection activeCell="E36" sqref="E36"/>
    </sheetView>
  </sheetViews>
  <sheetFormatPr defaultRowHeight="15.75" x14ac:dyDescent="0.25"/>
  <cols>
    <col min="1" max="1" width="20.125" style="18" customWidth="1"/>
    <col min="2" max="2" width="42.5" style="4" customWidth="1"/>
    <col min="3" max="3" width="4.375" style="9" customWidth="1"/>
    <col min="4" max="4" width="20.125" style="18" customWidth="1"/>
    <col min="5" max="5" width="42.5" style="4" customWidth="1"/>
    <col min="6" max="6" width="4.375" style="9" customWidth="1"/>
    <col min="7" max="7" width="20.125" style="18" customWidth="1"/>
    <col min="8" max="8" width="42.5" style="4" customWidth="1"/>
    <col min="9" max="16384" width="9" style="8"/>
  </cols>
  <sheetData>
    <row r="1" spans="1:8" x14ac:dyDescent="0.25">
      <c r="A1" s="17" t="s">
        <v>2</v>
      </c>
      <c r="B1" s="16" t="s">
        <v>11</v>
      </c>
      <c r="D1" s="17" t="s">
        <v>2</v>
      </c>
      <c r="E1" s="16" t="s">
        <v>12</v>
      </c>
      <c r="G1" s="17" t="s">
        <v>2</v>
      </c>
      <c r="H1" s="16" t="s">
        <v>29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ChiDan</vt:lpstr>
      <vt:lpstr>DataImport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2020-03-05T04:11:13Z</dcterms:created>
  <dcterms:modified xsi:type="dcterms:W3CDTF">2022-09-27T00:01:33Z</dcterms:modified>
</cp:coreProperties>
</file>