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workbookProtection workbookAlgorithmName="SHA-512" workbookHashValue="ipKdcBiiFv2AFCliYTVzMpIyiyX5AI8H2SfD7vDQ5tQHzQu7WySQJyzBHM0bvNWNgLkAFZzIJUi5ebzGk1/zeg==" workbookSaltValue="icvkqtpzy+CkBoMn79tOCQ==" workbookSpinCount="100000" lockStructure="1"/>
  <bookViews>
    <workbookView xWindow="-120" yWindow="-120" windowWidth="29040" windowHeight="15840" tabRatio="777" activeTab="1"/>
  </bookViews>
  <sheets>
    <sheet name="ChiDan" sheetId="19" r:id="rId1"/>
    <sheet name="DataImport" sheetId="8" r:id="rId2"/>
    <sheet name="Export" sheetId="15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4" i="8" l="1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</calcChain>
</file>

<file path=xl/sharedStrings.xml><?xml version="1.0" encoding="utf-8"?>
<sst xmlns="http://schemas.openxmlformats.org/spreadsheetml/2006/main" count="218" uniqueCount="150">
  <si>
    <t>TT</t>
  </si>
  <si>
    <t>Ghi chú</t>
  </si>
  <si>
    <t>ID</t>
  </si>
  <si>
    <t>Nội dung</t>
  </si>
  <si>
    <t>BẢNG CHỈ DẪN IMPORT CÔNG VIỆC VÀO DỰ ÁN/PHÒNG BAN</t>
  </si>
  <si>
    <t>B1</t>
  </si>
  <si>
    <t>Tải mẫu import từ hệ thống</t>
  </si>
  <si>
    <t>B2</t>
  </si>
  <si>
    <t>B3</t>
  </si>
  <si>
    <t>Import dữ liệu để tạo nhanh từ excel</t>
  </si>
  <si>
    <t>(Nếu báo lỗi không import được thì kiểm tra lại việc khai báo thông tin để đảm bảo chính xác/đầy đủ)</t>
  </si>
  <si>
    <t>Mẫu import cần được tải theo từng Dự án</t>
  </si>
  <si>
    <t>DANH SÁCH CÔNG VIỆC</t>
  </si>
  <si>
    <t>Sau khi khai báo xong, bấm Update để khởi tạo dữ liệu cho hệ thống nhận diện</t>
  </si>
  <si>
    <t>B4</t>
  </si>
  <si>
    <t>Công việc</t>
  </si>
  <si>
    <t>Mã hiệu</t>
  </si>
  <si>
    <t>Khai báo đủ thông tin Nhóm dữ liệu/Người thực hiện/Ngày kết thúc/Hợp đồng
Các tên này phải tồn tại trong sheet "Export"</t>
  </si>
  <si>
    <t>Tạo danh sách công việc (tối đa 300 công việc)</t>
  </si>
  <si>
    <t>Nhóm công việc</t>
  </si>
  <si>
    <t>Tên hạng mục</t>
  </si>
  <si>
    <t>Đơn vị tính</t>
  </si>
  <si>
    <t>Khối lượng</t>
  </si>
  <si>
    <t>Đơn giá</t>
  </si>
  <si>
    <t>Thành tiền</t>
  </si>
  <si>
    <t>DT, CP</t>
  </si>
  <si>
    <t>ID hạng mục</t>
  </si>
  <si>
    <t>Chi phí quảng cáo Shopee</t>
  </si>
  <si>
    <t>Chi phí quảng cáo Shopee Winggo Vĩnh Phúc</t>
  </si>
  <si>
    <t>Chi phí quảng cáo Shopee Winggo Yên Hòa</t>
  </si>
  <si>
    <t>Chi phí quảng cáo Shopee Winggo Thành Công</t>
  </si>
  <si>
    <t>Chi phí quảng cáo Shopee Winggo Cổ Nhuế</t>
  </si>
  <si>
    <t>Chi phí quảng cáo Shopee Winggo Hồ Đắc Di</t>
  </si>
  <si>
    <t>Chi phí quảng cáo Shopee Winggo Lương Thế Vinh</t>
  </si>
  <si>
    <t>Chi phí quảng cáo Shopee Winggo Lê Lợi</t>
  </si>
  <si>
    <t>Chi phí quảng cáo Shopee Winggo Đội Cấn</t>
  </si>
  <si>
    <t>Chi phí quảng cáo Shopee Winggo Trương Định</t>
  </si>
  <si>
    <t>Chi phí quảng cáo Shopee Winggo Tam Trinh</t>
  </si>
  <si>
    <t>Chi phí quảng cáo Shopee Winggo Quan Nhân</t>
  </si>
  <si>
    <t>Chi phí quảng cáo Shopee Winggo Hồng Mai</t>
  </si>
  <si>
    <t>Chi phí quảng cáo Shopee Winggo Khương Trung</t>
  </si>
  <si>
    <t>Chi phí quảng cáo Shopee Winggo Phú Diễn</t>
  </si>
  <si>
    <t>Chi phí quảng cáo Shopee Winggo Thái Thịnh</t>
  </si>
  <si>
    <t>Chi phí quảng cáo Shopee Winggo Doãn Kế Thiện</t>
  </si>
  <si>
    <t>Chi phí quảng cáo Shopee Winggo Trần Quốc Vượng</t>
  </si>
  <si>
    <t>Chi phí quảng cáo Shopee Winggo Nghĩa Tân</t>
  </si>
  <si>
    <t>Chi phí quảng cáo Shopee Winggo Thụy Khuê</t>
  </si>
  <si>
    <t>Chi phí quảng cáo Shopee Winggo Lai Xá</t>
  </si>
  <si>
    <t>Chi phí quảng cáo Shopee Winggo Nguyễn Huy Tưởng</t>
  </si>
  <si>
    <t>Chi phí quảng cáo Shopee Winggo Lạc Trung</t>
  </si>
  <si>
    <t>Chi phí quảng cáo Shopee Winggo Nguyễn Khang</t>
  </si>
  <si>
    <t>Chi phí quảng cáo Shopee Winggo Lương Định Của</t>
  </si>
  <si>
    <t>Chi phí quảng cáo Shopee Winggo Dương Quảng Hàm</t>
  </si>
  <si>
    <t>Chi phí quảng cáo Shopee Winggo Rạch Bùng Binh</t>
  </si>
  <si>
    <t>Chi phí quảng cáo Shopee Winggo Huỳnh Văn Bánh</t>
  </si>
  <si>
    <t>Chi phí quảng cáo Shopee Winggo Tôn Đức Thắng</t>
  </si>
  <si>
    <t>Chi phí quảng cáo Shopee Winggo Bạch Mai</t>
  </si>
  <si>
    <t>Chi phí quảng cáo Shopee Winggo Tuệ Tĩnh</t>
  </si>
  <si>
    <t>VND</t>
  </si>
  <si>
    <t>M7QCGFB1</t>
  </si>
  <si>
    <t>M7QCGFB2</t>
  </si>
  <si>
    <t>M7QCGFB3</t>
  </si>
  <si>
    <t>M7QCGFB4</t>
  </si>
  <si>
    <t>M7QCGFB5</t>
  </si>
  <si>
    <t>M7QCGFB6</t>
  </si>
  <si>
    <t>M7QCGFB7</t>
  </si>
  <si>
    <t>M7QCGFB8</t>
  </si>
  <si>
    <t>M7QCGFB9</t>
  </si>
  <si>
    <t>M7QCGFB10</t>
  </si>
  <si>
    <t>M7QCGFB11</t>
  </si>
  <si>
    <t>M7QCGFB12</t>
  </si>
  <si>
    <t>M7QCGFB13</t>
  </si>
  <si>
    <t>M7QCGFB14</t>
  </si>
  <si>
    <t>M7QCGFB15</t>
  </si>
  <si>
    <t>M7QCGFB16</t>
  </si>
  <si>
    <t>M7QCGFB17</t>
  </si>
  <si>
    <t>M7QCGFB18</t>
  </si>
  <si>
    <t>M7QCGFB19</t>
  </si>
  <si>
    <t>M7QCGFB20</t>
  </si>
  <si>
    <t>M7QCGFB21</t>
  </si>
  <si>
    <t>M7QCGFB22</t>
  </si>
  <si>
    <t>M7QCGFB23</t>
  </si>
  <si>
    <t>M7QCGFB24</t>
  </si>
  <si>
    <t>M7QCGFB25</t>
  </si>
  <si>
    <t>M7QCGFB26</t>
  </si>
  <si>
    <t>M7QCGFB27</t>
  </si>
  <si>
    <t>M7QCGFB28</t>
  </si>
  <si>
    <t>M7QCGFB29</t>
  </si>
  <si>
    <t>M7QCGFB30</t>
  </si>
  <si>
    <t>M7QCSPB1</t>
  </si>
  <si>
    <t>M7QCSPB2</t>
  </si>
  <si>
    <t>M7QCSPB3</t>
  </si>
  <si>
    <t>M7QCSPB4</t>
  </si>
  <si>
    <t>M7QCSPB5</t>
  </si>
  <si>
    <t>M7QCSPB6</t>
  </si>
  <si>
    <t>M7QCSPB7</t>
  </si>
  <si>
    <t>M7QCSPB8</t>
  </si>
  <si>
    <t>M7QCSPB9</t>
  </si>
  <si>
    <t>M7QCSPB10</t>
  </si>
  <si>
    <t>M7QCSPB11</t>
  </si>
  <si>
    <t>M7QCSPB12</t>
  </si>
  <si>
    <t>M7QCSPB13</t>
  </si>
  <si>
    <t>M7QCSPB14</t>
  </si>
  <si>
    <t>M7QCSPB15</t>
  </si>
  <si>
    <t>M7QCSPB16</t>
  </si>
  <si>
    <t>M7QCSPB17</t>
  </si>
  <si>
    <t>M7QCSPB18</t>
  </si>
  <si>
    <t>M7QCSPB19</t>
  </si>
  <si>
    <t>M7QCSPB20</t>
  </si>
  <si>
    <t>M7QCSPB21</t>
  </si>
  <si>
    <t>M7QCSPB22</t>
  </si>
  <si>
    <t>M7QCSPB23</t>
  </si>
  <si>
    <t>M7QCSPB24</t>
  </si>
  <si>
    <t>M7QCSPB25</t>
  </si>
  <si>
    <t>M7QCSPB26</t>
  </si>
  <si>
    <t>M7QCSPB27</t>
  </si>
  <si>
    <t>M7QCSPB28</t>
  </si>
  <si>
    <t>M7QCSPB29</t>
  </si>
  <si>
    <t>M7QCSPB30</t>
  </si>
  <si>
    <t>Chi phí quảng cáo Grab</t>
  </si>
  <si>
    <t>Chi phí quảng cáo Grab Winggo Vĩnh Phúc</t>
  </si>
  <si>
    <t>Chi phí quảng cáo Grab Winggo Yên Hòa</t>
  </si>
  <si>
    <t>Chi phí quảng cáo Grab Winggo Thành Công</t>
  </si>
  <si>
    <t>Chi phí quảng cáo Grab Winggo Cổ Nhuế</t>
  </si>
  <si>
    <t>Chi phí quảng cáo Grab Winggo Hồ Đắc Di</t>
  </si>
  <si>
    <t>Chi phí quảng cáo Grab Winggo Lương Thế Vinh</t>
  </si>
  <si>
    <t>Chi phí quảng cáo Grab Winggo Lê Lợi</t>
  </si>
  <si>
    <t>Chi phí quảng cáo Grab Winggo Đội Cấn</t>
  </si>
  <si>
    <t>Chi phí quảng cáo Grab Winggo Trương Định</t>
  </si>
  <si>
    <t>Chi phí quảng cáo Grab Winggo Tam Trinh</t>
  </si>
  <si>
    <t>Chi phí quảng cáo Grab Winggo Quan Nhân</t>
  </si>
  <si>
    <t>Chi phí quảng cáo Grab Winggo Hồng Mai</t>
  </si>
  <si>
    <t>Chi phí quảng cáo Grab Winggo Khương Trung</t>
  </si>
  <si>
    <t>Chi phí quảng cáo Grab Winggo Phú Diễn</t>
  </si>
  <si>
    <t>Chi phí quảng cáo Grab Winggo Thái Thịnh</t>
  </si>
  <si>
    <t>Chi phí quảng cáo Grab Winggo Doãn Kế Thiện</t>
  </si>
  <si>
    <t>Chi phí quảng cáo Grab Winggo Trần Quốc Vượng</t>
  </si>
  <si>
    <t>Chi phí quảng cáo Grab Winggo Nghĩa Tân</t>
  </si>
  <si>
    <t>Chi phí quảng cáo Grab Winggo Thụy Khuê</t>
  </si>
  <si>
    <t>Chi phí quảng cáo Grab Winggo Lai Xá</t>
  </si>
  <si>
    <t>Chi phí quảng cáo Grab Winggo Nguyễn Huy Tưởng</t>
  </si>
  <si>
    <t>Chi phí quảng cáo Grab Winggo Lạc Trung</t>
  </si>
  <si>
    <t>Chi phí quảng cáo Grab Winggo Nguyễn Khang</t>
  </si>
  <si>
    <t>Chi phí quảng cáo Grab Winggo Lương Định Của</t>
  </si>
  <si>
    <t>Chi phí quảng cáo Grab Winggo Dương Quảng Hàm</t>
  </si>
  <si>
    <t>Chi phí quảng cáo Grab Winggo Rạch Bùng Binh</t>
  </si>
  <si>
    <t>Chi phí quảng cáo Grab Winggo Huỳnh Văn Bánh</t>
  </si>
  <si>
    <t>Chi phí quảng cáo Grab Winggo Tôn Đức Thắng</t>
  </si>
  <si>
    <t>Chi phí quảng cáo Grab Winggo Bạch Mai</t>
  </si>
  <si>
    <t>Chi phí quảng cáo Grab Winggo Tuệ Tĩnh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</si>
</sst>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"/>
  </numFmts>
  <fonts count="14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u/>
      <sz val="12"/>
      <color theme="10"/>
      <name val="Times New Roman"/>
      <family val="2"/>
      <charset val="163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name val="Times New Roman"/>
      <family val="2"/>
      <charset val="163"/>
    </font>
    <font>
      <b/>
      <sz val="12"/>
      <name val="Times New Roman"/>
      <family val="1"/>
    </font>
    <font>
      <sz val="12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i/>
      <sz val="12"/>
      <color theme="1"/>
      <name val="Times New Roman"/>
      <family val="1"/>
    </font>
    <font>
      <b/>
      <u/>
      <sz val="12"/>
      <name val="Times New Roman"/>
      <family val="1"/>
    </font>
    <font>
      <u/>
      <sz val="12"/>
      <name val="Times New Roman"/>
      <family val="1"/>
    </font>
    <font>
      <sz val="12"/>
      <color rgb="FF1155CC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/>
  </cellStyleXfs>
  <cellXfs count="48">
    <xf numFmtId="0" fontId="0" fillId="0" borderId="0" xfId="0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6" fillId="0" borderId="0" xfId="0" applyFont="1" applyBorder="1" applyAlignment="1">
      <alignment vertical="top"/>
    </xf>
    <xf numFmtId="0" fontId="7" fillId="0" borderId="0" xfId="0" applyFont="1" applyAlignment="1">
      <alignment vertical="top" wrapText="1"/>
    </xf>
    <xf numFmtId="0" fontId="3" fillId="0" borderId="0" xfId="0" applyFont="1" applyAlignment="1">
      <alignment vertical="top"/>
    </xf>
    <xf numFmtId="0" fontId="3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top" wrapText="1"/>
    </xf>
    <xf numFmtId="0" fontId="8" fillId="2" borderId="0" xfId="0" applyFont="1" applyFill="1" applyAlignment="1">
      <alignment vertical="top"/>
    </xf>
    <xf numFmtId="0" fontId="9" fillId="0" borderId="0" xfId="0" applyFont="1" applyAlignment="1">
      <alignment vertical="top"/>
    </xf>
    <xf numFmtId="14" fontId="7" fillId="0" borderId="0" xfId="0" applyNumberFormat="1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vertical="center" wrapText="1"/>
    </xf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6" fillId="5" borderId="1" xfId="0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14" fontId="6" fillId="5" borderId="1" xfId="0" applyNumberFormat="1" applyFont="1" applyFill="1" applyBorder="1" applyAlignment="1">
      <alignment vertical="center" wrapText="1"/>
    </xf>
    <xf numFmtId="3" fontId="7" fillId="0" borderId="0" xfId="0" applyNumberFormat="1" applyFont="1" applyAlignment="1">
      <alignment vertical="top" wrapText="1"/>
    </xf>
    <xf numFmtId="3" fontId="6" fillId="5" borderId="1" xfId="0" applyNumberFormat="1" applyFont="1" applyFill="1" applyBorder="1" applyAlignment="1">
      <alignment vertical="center" wrapText="1"/>
    </xf>
    <xf numFmtId="3" fontId="7" fillId="0" borderId="1" xfId="0" applyNumberFormat="1" applyFont="1" applyBorder="1" applyAlignment="1">
      <alignment vertical="center" wrapText="1"/>
    </xf>
    <xf numFmtId="164" fontId="11" fillId="5" borderId="1" xfId="1" applyNumberFormat="1" applyFont="1" applyFill="1" applyBorder="1" applyAlignment="1">
      <alignment vertical="center" wrapText="1"/>
    </xf>
    <xf numFmtId="0" fontId="7" fillId="0" borderId="1" xfId="0" applyFont="1" applyBorder="1" applyAlignment="1">
      <alignment vertical="top" wrapText="1"/>
    </xf>
    <xf numFmtId="164" fontId="12" fillId="0" borderId="1" xfId="1" applyNumberFormat="1" applyFont="1" applyBorder="1" applyAlignment="1">
      <alignment vertical="center" wrapText="1"/>
    </xf>
    <xf numFmtId="164" fontId="7" fillId="0" borderId="0" xfId="0" applyNumberFormat="1" applyFont="1" applyAlignment="1">
      <alignment vertical="top" wrapText="1"/>
    </xf>
    <xf numFmtId="49" fontId="6" fillId="5" borderId="1" xfId="0" applyNumberFormat="1" applyFont="1" applyFill="1" applyBorder="1" applyAlignment="1">
      <alignment vertical="center" wrapText="1"/>
    </xf>
    <xf numFmtId="49" fontId="7" fillId="0" borderId="1" xfId="0" applyNumberFormat="1" applyFont="1" applyBorder="1" applyAlignment="1">
      <alignment vertical="center" wrapText="1"/>
    </xf>
    <xf numFmtId="0" fontId="6" fillId="3" borderId="1" xfId="0" applyFont="1" applyFill="1" applyBorder="1" applyAlignment="1">
      <alignment horizontal="center" vertical="top" wrapText="1"/>
    </xf>
    <xf numFmtId="0" fontId="6" fillId="3" borderId="1" xfId="0" applyFont="1" applyFill="1" applyBorder="1" applyAlignment="1">
      <alignment vertical="top" wrapText="1"/>
    </xf>
    <xf numFmtId="164" fontId="6" fillId="3" borderId="1" xfId="0" applyNumberFormat="1" applyFont="1" applyFill="1" applyBorder="1" applyAlignment="1">
      <alignment horizontal="center" vertical="top" wrapText="1"/>
    </xf>
    <xf numFmtId="14" fontId="6" fillId="3" borderId="1" xfId="0" applyNumberFormat="1" applyFont="1" applyFill="1" applyBorder="1" applyAlignment="1">
      <alignment horizontal="center" vertical="top" wrapText="1"/>
    </xf>
    <xf numFmtId="3" fontId="6" fillId="3" borderId="1" xfId="0" applyNumberFormat="1" applyFont="1" applyFill="1" applyBorder="1" applyAlignment="1">
      <alignment horizontal="center" vertical="top" wrapText="1"/>
    </xf>
    <xf numFmtId="49" fontId="6" fillId="3" borderId="1" xfId="0" applyNumberFormat="1" applyFont="1" applyFill="1" applyBorder="1" applyAlignment="1">
      <alignment vertical="top" wrapText="1"/>
    </xf>
    <xf numFmtId="164" fontId="7" fillId="0" borderId="1" xfId="0" applyNumberFormat="1" applyFont="1" applyBorder="1" applyAlignment="1">
      <alignment vertical="top" wrapText="1"/>
    </xf>
    <xf numFmtId="3" fontId="7" fillId="0" borderId="1" xfId="0" applyNumberFormat="1" applyFont="1" applyBorder="1" applyAlignment="1">
      <alignment vertical="top" wrapText="1"/>
    </xf>
    <xf numFmtId="49" fontId="7" fillId="0" borderId="1" xfId="0" applyNumberFormat="1" applyFont="1" applyBorder="1" applyAlignment="1">
      <alignment vertical="top" wrapText="1"/>
    </xf>
    <xf numFmtId="3" fontId="3" fillId="6" borderId="1" xfId="0" applyNumberFormat="1" applyFont="1" applyFill="1" applyBorder="1" applyAlignment="1">
      <alignment vertical="top"/>
    </xf>
    <xf numFmtId="3" fontId="3" fillId="6" borderId="1" xfId="0" applyNumberFormat="1" applyFont="1" applyFill="1" applyBorder="1" applyAlignment="1">
      <alignment horizontal="right" vertical="top"/>
    </xf>
    <xf numFmtId="3" fontId="13" fillId="6" borderId="1" xfId="0" applyNumberFormat="1" applyFont="1" applyFill="1" applyBorder="1" applyAlignment="1">
      <alignment horizontal="right" vertical="top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"/>
  <dimension ref="A1:C6"/>
  <sheetViews>
    <sheetView workbookViewId="0">
      <selection activeCell="B32" sqref="B32"/>
    </sheetView>
  </sheetViews>
  <sheetFormatPr defaultRowHeight="15.75" x14ac:dyDescent="0.25"/>
  <cols>
    <col min="1" max="1" width="4.875" style="9" customWidth="1"/>
    <col min="2" max="2" width="30.25" style="10" customWidth="1"/>
    <col min="3" max="3" width="55" style="10" customWidth="1"/>
    <col min="4" max="16384" width="9" style="9"/>
  </cols>
  <sheetData>
    <row r="1" spans="1:3" x14ac:dyDescent="0.25">
      <c r="A1" s="1" t="s">
        <v>4</v>
      </c>
    </row>
    <row r="2" spans="1:3" s="1" customFormat="1" x14ac:dyDescent="0.25">
      <c r="A2" s="2" t="s">
        <v>0</v>
      </c>
      <c r="B2" s="3" t="s">
        <v>3</v>
      </c>
      <c r="C2" s="3" t="s">
        <v>1</v>
      </c>
    </row>
    <row r="3" spans="1:3" x14ac:dyDescent="0.25">
      <c r="A3" s="11" t="s">
        <v>5</v>
      </c>
      <c r="B3" s="12" t="s">
        <v>6</v>
      </c>
      <c r="C3" s="12" t="s">
        <v>11</v>
      </c>
    </row>
    <row r="4" spans="1:3" ht="47.25" x14ac:dyDescent="0.25">
      <c r="A4" s="11" t="s">
        <v>7</v>
      </c>
      <c r="B4" s="12" t="s">
        <v>18</v>
      </c>
      <c r="C4" s="12" t="s">
        <v>17</v>
      </c>
    </row>
    <row r="5" spans="1:3" ht="47.25" x14ac:dyDescent="0.25">
      <c r="A5" s="11" t="s">
        <v>8</v>
      </c>
      <c r="B5" s="12" t="s">
        <v>13</v>
      </c>
      <c r="C5" s="12"/>
    </row>
    <row r="6" spans="1:3" ht="31.5" x14ac:dyDescent="0.25">
      <c r="A6" s="11" t="s">
        <v>14</v>
      </c>
      <c r="B6" s="12" t="s">
        <v>9</v>
      </c>
      <c r="C6" s="13" t="s">
        <v>10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1">
    <tabColor rgb="FFFFFF00"/>
  </sheetPr>
  <dimension ref="A1:R64"/>
  <sheetViews>
    <sheetView tabSelected="1" zoomScale="85" zoomScaleNormal="85" workbookViewId="0">
      <pane ySplit="2" topLeftCell="A3" activePane="bottomLeft" state="frozen"/>
      <selection pane="bottomLeft" activeCell="C57" sqref="C57"/>
    </sheetView>
  </sheetViews>
  <sheetFormatPr defaultRowHeight="15.75" x14ac:dyDescent="0.25"/>
  <cols>
    <col min="1" max="2" width="4.25" style="23" customWidth="1"/>
    <col min="3" max="3" width="20.375" style="6" customWidth="1"/>
    <col min="4" max="4" width="31" style="6" customWidth="1"/>
    <col min="5" max="5" width="14.375" style="6" customWidth="1"/>
    <col min="6" max="6" width="7.5" style="6" bestFit="1" customWidth="1"/>
    <col min="7" max="7" width="11.25" style="6" bestFit="1" customWidth="1"/>
    <col min="8" max="8" width="12" style="33" customWidth="1"/>
    <col min="9" max="9" width="13.125" style="17" customWidth="1"/>
    <col min="10" max="10" width="15.875" style="17" customWidth="1"/>
    <col min="11" max="11" width="12" style="33" customWidth="1"/>
    <col min="12" max="12" width="13.125" style="27" customWidth="1"/>
    <col min="13" max="13" width="15.875" style="27" customWidth="1"/>
    <col min="14" max="14" width="12" style="33" customWidth="1"/>
    <col min="15" max="15" width="13.125" style="27" customWidth="1"/>
    <col min="16" max="16" width="15.875" style="27" customWidth="1"/>
    <col min="17" max="17" width="22.625" style="22" customWidth="1"/>
    <col min="18" max="18" width="25.625" style="22" customWidth="1"/>
    <col min="19" max="16384" width="9" style="6"/>
  </cols>
  <sheetData>
    <row r="1" spans="1:18" s="18" customFormat="1" ht="15.75" customHeight="1" x14ac:dyDescent="0.25">
      <c r="A1" s="5" t="s">
        <v>12</v>
      </c>
      <c r="B1" s="5"/>
    </row>
    <row r="2" spans="1:18" s="19" customFormat="1" x14ac:dyDescent="0.25">
      <c r="A2" s="36"/>
      <c r="B2" s="36"/>
      <c r="C2" s="37" t="s">
        <v>19</v>
      </c>
      <c r="D2" s="37" t="s">
        <v>15</v>
      </c>
      <c r="E2" s="36" t="s">
        <v>16</v>
      </c>
      <c r="F2" s="36" t="s">
        <v>25</v>
      </c>
      <c r="G2" s="36" t="s">
        <v>21</v>
      </c>
      <c r="H2" s="38" t="s">
        <v>22</v>
      </c>
      <c r="I2" s="39" t="s">
        <v>23</v>
      </c>
      <c r="J2" s="39" t="s">
        <v>24</v>
      </c>
      <c r="K2" s="38" t="s">
        <v>22</v>
      </c>
      <c r="L2" s="40" t="s">
        <v>23</v>
      </c>
      <c r="M2" s="40" t="s">
        <v>24</v>
      </c>
      <c r="N2" s="38" t="s">
        <v>22</v>
      </c>
      <c r="O2" s="40" t="s">
        <v>23</v>
      </c>
      <c r="P2" s="40" t="s">
        <v>24</v>
      </c>
      <c r="Q2" s="41" t="s">
        <v>1</v>
      </c>
      <c r="R2" s="41" t="s">
        <v>26</v>
      </c>
    </row>
    <row r="3" spans="1:18" s="18" customFormat="1" ht="31.5" x14ac:dyDescent="0.25">
      <c r="A3" s="20"/>
      <c r="B3" s="20"/>
      <c r="C3" s="24" t="s">
        <v>119</v>
      </c>
      <c r="D3" s="24"/>
      <c r="E3" s="24"/>
      <c r="F3" s="25"/>
      <c r="G3" s="24"/>
      <c r="H3" s="30"/>
      <c r="I3" s="26"/>
      <c r="J3" s="26"/>
      <c r="K3" s="30"/>
      <c r="L3" s="28"/>
      <c r="M3" s="28"/>
      <c r="N3" s="30"/>
      <c r="O3" s="28"/>
      <c r="P3" s="28"/>
      <c r="Q3" s="34"/>
      <c r="R3" s="34"/>
    </row>
    <row r="4" spans="1:18" s="18" customFormat="1" ht="31.5" x14ac:dyDescent="0.25">
      <c r="A4" s="20"/>
      <c r="B4" s="20"/>
      <c r="C4" s="21"/>
      <c r="D4" s="21" t="s">
        <v>120</v>
      </c>
      <c r="E4" s="31" t="s">
        <v>59</v>
      </c>
      <c r="F4" s="31">
        <v>1</v>
      </c>
      <c r="G4" s="31" t="s">
        <v>58</v>
      </c>
      <c r="H4" s="47">
        <v>1</v>
      </c>
      <c r="I4" s="45">
        <v>2500000</v>
      </c>
      <c r="J4" s="46">
        <f t="shared" ref="J4:J33" si="0">I4*H4</f>
        <v>2500000</v>
      </c>
      <c r="K4" s="32"/>
      <c r="L4" s="29"/>
      <c r="M4" s="29"/>
      <c r="N4" s="32"/>
      <c r="O4" s="29"/>
      <c r="P4" s="29"/>
      <c r="Q4" s="35"/>
      <c r="R4" s="35"/>
    </row>
    <row r="5" spans="1:18" s="18" customFormat="1" ht="31.5" x14ac:dyDescent="0.25">
      <c r="A5" s="20"/>
      <c r="B5" s="20"/>
      <c r="C5" s="21"/>
      <c r="D5" s="21" t="s">
        <v>121</v>
      </c>
      <c r="E5" s="31" t="s">
        <v>60</v>
      </c>
      <c r="F5" s="31">
        <v>1</v>
      </c>
      <c r="G5" s="31" t="s">
        <v>58</v>
      </c>
      <c r="H5" s="47">
        <v>1</v>
      </c>
      <c r="I5" s="45">
        <v>2500000</v>
      </c>
      <c r="J5" s="46">
        <f t="shared" si="0"/>
        <v>2500000</v>
      </c>
      <c r="K5" s="32"/>
      <c r="L5" s="29"/>
      <c r="M5" s="29"/>
      <c r="N5" s="32"/>
      <c r="O5" s="29"/>
      <c r="P5" s="29"/>
      <c r="Q5" s="35"/>
      <c r="R5" s="35"/>
    </row>
    <row r="6" spans="1:18" s="18" customFormat="1" ht="31.5" x14ac:dyDescent="0.25">
      <c r="A6" s="20"/>
      <c r="B6" s="20"/>
      <c r="C6" s="21"/>
      <c r="D6" s="21" t="s">
        <v>122</v>
      </c>
      <c r="E6" s="31" t="s">
        <v>61</v>
      </c>
      <c r="F6" s="31">
        <v>1</v>
      </c>
      <c r="G6" s="31" t="s">
        <v>58</v>
      </c>
      <c r="H6" s="47">
        <v>1</v>
      </c>
      <c r="I6" s="45">
        <v>2500000</v>
      </c>
      <c r="J6" s="46">
        <f t="shared" si="0"/>
        <v>2500000</v>
      </c>
      <c r="K6" s="32"/>
      <c r="L6" s="29"/>
      <c r="M6" s="29"/>
      <c r="N6" s="32"/>
      <c r="O6" s="29"/>
      <c r="P6" s="29"/>
      <c r="Q6" s="35"/>
      <c r="R6" s="35"/>
    </row>
    <row r="7" spans="1:18" s="18" customFormat="1" ht="31.5" x14ac:dyDescent="0.25">
      <c r="A7" s="20"/>
      <c r="B7" s="20"/>
      <c r="C7" s="21"/>
      <c r="D7" s="21" t="s">
        <v>123</v>
      </c>
      <c r="E7" s="31" t="s">
        <v>62</v>
      </c>
      <c r="F7" s="31">
        <v>1</v>
      </c>
      <c r="G7" s="31" t="s">
        <v>58</v>
      </c>
      <c r="H7" s="47">
        <v>1</v>
      </c>
      <c r="I7" s="45">
        <v>2500000</v>
      </c>
      <c r="J7" s="46">
        <f t="shared" si="0"/>
        <v>2500000</v>
      </c>
      <c r="K7" s="32"/>
      <c r="L7" s="29"/>
      <c r="M7" s="29"/>
      <c r="N7" s="32"/>
      <c r="O7" s="29"/>
      <c r="P7" s="29"/>
      <c r="Q7" s="35"/>
      <c r="R7" s="35"/>
    </row>
    <row r="8" spans="1:18" s="18" customFormat="1" ht="31.5" x14ac:dyDescent="0.25">
      <c r="A8" s="20"/>
      <c r="B8" s="20"/>
      <c r="C8" s="21"/>
      <c r="D8" s="21" t="s">
        <v>124</v>
      </c>
      <c r="E8" s="31" t="s">
        <v>63</v>
      </c>
      <c r="F8" s="31">
        <v>1</v>
      </c>
      <c r="G8" s="31" t="s">
        <v>58</v>
      </c>
      <c r="H8" s="47">
        <v>1</v>
      </c>
      <c r="I8" s="45">
        <v>2500000</v>
      </c>
      <c r="J8" s="46">
        <f t="shared" si="0"/>
        <v>2500000</v>
      </c>
      <c r="K8" s="32"/>
      <c r="L8" s="29"/>
      <c r="M8" s="29"/>
      <c r="N8" s="32"/>
      <c r="O8" s="29"/>
      <c r="P8" s="29"/>
      <c r="Q8" s="35"/>
      <c r="R8" s="35"/>
    </row>
    <row r="9" spans="1:18" s="18" customFormat="1" ht="31.5" x14ac:dyDescent="0.25">
      <c r="A9" s="20"/>
      <c r="B9" s="20"/>
      <c r="C9" s="21"/>
      <c r="D9" s="21" t="s">
        <v>125</v>
      </c>
      <c r="E9" s="31" t="s">
        <v>64</v>
      </c>
      <c r="F9" s="31">
        <v>1</v>
      </c>
      <c r="G9" s="31" t="s">
        <v>58</v>
      </c>
      <c r="H9" s="47">
        <v>1</v>
      </c>
      <c r="I9" s="45">
        <v>2500000</v>
      </c>
      <c r="J9" s="46">
        <f t="shared" si="0"/>
        <v>2500000</v>
      </c>
      <c r="K9" s="32"/>
      <c r="L9" s="29"/>
      <c r="M9" s="29"/>
      <c r="N9" s="32"/>
      <c r="O9" s="29"/>
      <c r="P9" s="29"/>
      <c r="Q9" s="35"/>
      <c r="R9" s="35"/>
    </row>
    <row r="10" spans="1:18" s="18" customFormat="1" ht="31.5" x14ac:dyDescent="0.25">
      <c r="A10" s="20"/>
      <c r="B10" s="20"/>
      <c r="C10" s="21"/>
      <c r="D10" s="21" t="s">
        <v>126</v>
      </c>
      <c r="E10" s="31" t="s">
        <v>65</v>
      </c>
      <c r="F10" s="31">
        <v>1</v>
      </c>
      <c r="G10" s="31" t="s">
        <v>58</v>
      </c>
      <c r="H10" s="47">
        <v>1</v>
      </c>
      <c r="I10" s="45">
        <v>2500000</v>
      </c>
      <c r="J10" s="46">
        <f t="shared" si="0"/>
        <v>2500000</v>
      </c>
      <c r="K10" s="32"/>
      <c r="L10" s="29"/>
      <c r="M10" s="29"/>
      <c r="N10" s="32"/>
      <c r="O10" s="29"/>
      <c r="P10" s="29"/>
      <c r="Q10" s="35"/>
      <c r="R10" s="35"/>
    </row>
    <row r="11" spans="1:18" s="18" customFormat="1" ht="31.5" x14ac:dyDescent="0.25">
      <c r="A11" s="20"/>
      <c r="B11" s="20"/>
      <c r="C11" s="21"/>
      <c r="D11" s="21" t="s">
        <v>127</v>
      </c>
      <c r="E11" s="31" t="s">
        <v>66</v>
      </c>
      <c r="F11" s="31">
        <v>1</v>
      </c>
      <c r="G11" s="31" t="s">
        <v>58</v>
      </c>
      <c r="H11" s="47">
        <v>1</v>
      </c>
      <c r="I11" s="45">
        <v>2500000</v>
      </c>
      <c r="J11" s="46">
        <f t="shared" si="0"/>
        <v>2500000</v>
      </c>
      <c r="K11" s="32"/>
      <c r="L11" s="29"/>
      <c r="M11" s="29"/>
      <c r="N11" s="32"/>
      <c r="O11" s="29"/>
      <c r="P11" s="29"/>
      <c r="Q11" s="35"/>
      <c r="R11" s="35"/>
    </row>
    <row r="12" spans="1:18" s="18" customFormat="1" ht="31.5" x14ac:dyDescent="0.25">
      <c r="A12" s="20"/>
      <c r="B12" s="20"/>
      <c r="C12" s="21"/>
      <c r="D12" s="21" t="s">
        <v>128</v>
      </c>
      <c r="E12" s="31" t="s">
        <v>67</v>
      </c>
      <c r="F12" s="31">
        <v>1</v>
      </c>
      <c r="G12" s="31" t="s">
        <v>58</v>
      </c>
      <c r="H12" s="47">
        <v>1</v>
      </c>
      <c r="I12" s="45">
        <v>2500000</v>
      </c>
      <c r="J12" s="46">
        <f t="shared" si="0"/>
        <v>2500000</v>
      </c>
      <c r="K12" s="32"/>
      <c r="L12" s="29"/>
      <c r="M12" s="29"/>
      <c r="N12" s="32"/>
      <c r="O12" s="29"/>
      <c r="P12" s="29"/>
      <c r="Q12" s="35"/>
      <c r="R12" s="35"/>
    </row>
    <row r="13" spans="1:18" s="18" customFormat="1" ht="31.5" x14ac:dyDescent="0.25">
      <c r="A13" s="20"/>
      <c r="B13" s="20"/>
      <c r="C13" s="21"/>
      <c r="D13" s="21" t="s">
        <v>129</v>
      </c>
      <c r="E13" s="31" t="s">
        <v>68</v>
      </c>
      <c r="F13" s="31">
        <v>1</v>
      </c>
      <c r="G13" s="31" t="s">
        <v>58</v>
      </c>
      <c r="H13" s="47">
        <v>1</v>
      </c>
      <c r="I13" s="45">
        <v>2500000</v>
      </c>
      <c r="J13" s="46">
        <f t="shared" si="0"/>
        <v>2500000</v>
      </c>
      <c r="K13" s="32"/>
      <c r="L13" s="29"/>
      <c r="M13" s="29"/>
      <c r="N13" s="32"/>
      <c r="O13" s="29"/>
      <c r="P13" s="29"/>
      <c r="Q13" s="35"/>
      <c r="R13" s="35"/>
    </row>
    <row r="14" spans="1:18" s="18" customFormat="1" ht="31.5" x14ac:dyDescent="0.25">
      <c r="A14" s="20"/>
      <c r="B14" s="20"/>
      <c r="C14" s="21"/>
      <c r="D14" s="21" t="s">
        <v>130</v>
      </c>
      <c r="E14" s="31" t="s">
        <v>69</v>
      </c>
      <c r="F14" s="31">
        <v>1</v>
      </c>
      <c r="G14" s="31" t="s">
        <v>58</v>
      </c>
      <c r="H14" s="47">
        <v>1</v>
      </c>
      <c r="I14" s="45">
        <v>2500000</v>
      </c>
      <c r="J14" s="46">
        <f t="shared" si="0"/>
        <v>2500000</v>
      </c>
      <c r="K14" s="32"/>
      <c r="L14" s="29"/>
      <c r="M14" s="29"/>
      <c r="N14" s="32"/>
      <c r="O14" s="29"/>
      <c r="P14" s="29"/>
      <c r="Q14" s="35"/>
      <c r="R14" s="35"/>
    </row>
    <row r="15" spans="1:18" s="18" customFormat="1" ht="31.5" x14ac:dyDescent="0.25">
      <c r="A15" s="20"/>
      <c r="B15" s="20"/>
      <c r="C15" s="21"/>
      <c r="D15" s="21" t="s">
        <v>131</v>
      </c>
      <c r="E15" s="31" t="s">
        <v>70</v>
      </c>
      <c r="F15" s="31">
        <v>1</v>
      </c>
      <c r="G15" s="31" t="s">
        <v>58</v>
      </c>
      <c r="H15" s="47">
        <v>1</v>
      </c>
      <c r="I15" s="45">
        <v>2500000</v>
      </c>
      <c r="J15" s="46">
        <f t="shared" si="0"/>
        <v>2500000</v>
      </c>
      <c r="K15" s="32"/>
      <c r="L15" s="29"/>
      <c r="M15" s="29"/>
      <c r="N15" s="32"/>
      <c r="O15" s="29"/>
      <c r="P15" s="29"/>
      <c r="Q15" s="35"/>
      <c r="R15" s="35"/>
    </row>
    <row r="16" spans="1:18" s="18" customFormat="1" ht="31.5" x14ac:dyDescent="0.25">
      <c r="A16" s="20"/>
      <c r="B16" s="20"/>
      <c r="C16" s="21"/>
      <c r="D16" s="21" t="s">
        <v>132</v>
      </c>
      <c r="E16" s="31" t="s">
        <v>71</v>
      </c>
      <c r="F16" s="31">
        <v>1</v>
      </c>
      <c r="G16" s="31" t="s">
        <v>58</v>
      </c>
      <c r="H16" s="47">
        <v>1</v>
      </c>
      <c r="I16" s="45">
        <v>2500000</v>
      </c>
      <c r="J16" s="46">
        <f t="shared" si="0"/>
        <v>2500000</v>
      </c>
      <c r="K16" s="32"/>
      <c r="L16" s="29"/>
      <c r="M16" s="29"/>
      <c r="N16" s="32"/>
      <c r="O16" s="29"/>
      <c r="P16" s="29"/>
      <c r="Q16" s="35"/>
      <c r="R16" s="35"/>
    </row>
    <row r="17" spans="1:18" s="18" customFormat="1" ht="31.5" x14ac:dyDescent="0.25">
      <c r="A17" s="20"/>
      <c r="B17" s="20"/>
      <c r="C17" s="21"/>
      <c r="D17" s="21" t="s">
        <v>133</v>
      </c>
      <c r="E17" s="31" t="s">
        <v>72</v>
      </c>
      <c r="F17" s="31">
        <v>1</v>
      </c>
      <c r="G17" s="31" t="s">
        <v>58</v>
      </c>
      <c r="H17" s="47">
        <v>1</v>
      </c>
      <c r="I17" s="45">
        <v>2500000</v>
      </c>
      <c r="J17" s="46">
        <f t="shared" si="0"/>
        <v>2500000</v>
      </c>
      <c r="K17" s="32"/>
      <c r="L17" s="29"/>
      <c r="M17" s="29"/>
      <c r="N17" s="32"/>
      <c r="O17" s="29"/>
      <c r="P17" s="29"/>
      <c r="Q17" s="35"/>
      <c r="R17" s="35"/>
    </row>
    <row r="18" spans="1:18" s="18" customFormat="1" ht="31.5" x14ac:dyDescent="0.25">
      <c r="A18" s="20"/>
      <c r="B18" s="20"/>
      <c r="C18" s="21"/>
      <c r="D18" s="21" t="s">
        <v>134</v>
      </c>
      <c r="E18" s="31" t="s">
        <v>73</v>
      </c>
      <c r="F18" s="31">
        <v>1</v>
      </c>
      <c r="G18" s="31" t="s">
        <v>58</v>
      </c>
      <c r="H18" s="47">
        <v>1</v>
      </c>
      <c r="I18" s="45">
        <v>2500000</v>
      </c>
      <c r="J18" s="46">
        <f t="shared" si="0"/>
        <v>2500000</v>
      </c>
      <c r="K18" s="32"/>
      <c r="L18" s="29"/>
      <c r="M18" s="29"/>
      <c r="N18" s="32"/>
      <c r="O18" s="29"/>
      <c r="P18" s="29"/>
      <c r="Q18" s="35"/>
      <c r="R18" s="35"/>
    </row>
    <row r="19" spans="1:18" s="18" customFormat="1" ht="31.5" x14ac:dyDescent="0.25">
      <c r="A19" s="20"/>
      <c r="B19" s="20"/>
      <c r="C19" s="21"/>
      <c r="D19" s="21" t="s">
        <v>135</v>
      </c>
      <c r="E19" s="31" t="s">
        <v>74</v>
      </c>
      <c r="F19" s="31">
        <v>1</v>
      </c>
      <c r="G19" s="31" t="s">
        <v>58</v>
      </c>
      <c r="H19" s="47">
        <v>1</v>
      </c>
      <c r="I19" s="45">
        <v>2500000</v>
      </c>
      <c r="J19" s="46">
        <f t="shared" si="0"/>
        <v>2500000</v>
      </c>
      <c r="K19" s="32"/>
      <c r="L19" s="29"/>
      <c r="M19" s="29"/>
      <c r="N19" s="32"/>
      <c r="O19" s="29"/>
      <c r="P19" s="29"/>
      <c r="Q19" s="35"/>
      <c r="R19" s="35"/>
    </row>
    <row r="20" spans="1:18" s="18" customFormat="1" ht="31.5" x14ac:dyDescent="0.25">
      <c r="A20" s="20"/>
      <c r="B20" s="20"/>
      <c r="C20" s="21"/>
      <c r="D20" s="21" t="s">
        <v>136</v>
      </c>
      <c r="E20" s="31" t="s">
        <v>75</v>
      </c>
      <c r="F20" s="31">
        <v>1</v>
      </c>
      <c r="G20" s="31" t="s">
        <v>58</v>
      </c>
      <c r="H20" s="47">
        <v>1</v>
      </c>
      <c r="I20" s="45">
        <v>2500000</v>
      </c>
      <c r="J20" s="46">
        <f t="shared" si="0"/>
        <v>2500000</v>
      </c>
      <c r="K20" s="32"/>
      <c r="L20" s="29"/>
      <c r="M20" s="29"/>
      <c r="N20" s="32"/>
      <c r="O20" s="29"/>
      <c r="P20" s="29"/>
      <c r="Q20" s="35"/>
      <c r="R20" s="35"/>
    </row>
    <row r="21" spans="1:18" s="18" customFormat="1" ht="31.5" x14ac:dyDescent="0.25">
      <c r="A21" s="20"/>
      <c r="B21" s="20"/>
      <c r="C21" s="21"/>
      <c r="D21" s="21" t="s">
        <v>137</v>
      </c>
      <c r="E21" s="31" t="s">
        <v>76</v>
      </c>
      <c r="F21" s="31">
        <v>1</v>
      </c>
      <c r="G21" s="31" t="s">
        <v>58</v>
      </c>
      <c r="H21" s="47">
        <v>1</v>
      </c>
      <c r="I21" s="45">
        <v>2500000</v>
      </c>
      <c r="J21" s="46">
        <f t="shared" si="0"/>
        <v>2500000</v>
      </c>
      <c r="K21" s="32"/>
      <c r="L21" s="29"/>
      <c r="M21" s="29"/>
      <c r="N21" s="32"/>
      <c r="O21" s="29"/>
      <c r="P21" s="29"/>
      <c r="Q21" s="35"/>
      <c r="R21" s="35"/>
    </row>
    <row r="22" spans="1:18" s="18" customFormat="1" ht="31.5" x14ac:dyDescent="0.25">
      <c r="A22" s="20"/>
      <c r="B22" s="20"/>
      <c r="C22" s="21"/>
      <c r="D22" s="21" t="s">
        <v>138</v>
      </c>
      <c r="E22" s="31" t="s">
        <v>77</v>
      </c>
      <c r="F22" s="31">
        <v>1</v>
      </c>
      <c r="G22" s="31" t="s">
        <v>58</v>
      </c>
      <c r="H22" s="47">
        <v>1</v>
      </c>
      <c r="I22" s="45">
        <v>2500000</v>
      </c>
      <c r="J22" s="46">
        <f t="shared" si="0"/>
        <v>2500000</v>
      </c>
      <c r="K22" s="32"/>
      <c r="L22" s="29"/>
      <c r="M22" s="29"/>
      <c r="N22" s="32"/>
      <c r="O22" s="29"/>
      <c r="P22" s="29"/>
      <c r="Q22" s="35"/>
      <c r="R22" s="35"/>
    </row>
    <row r="23" spans="1:18" s="18" customFormat="1" ht="31.5" x14ac:dyDescent="0.25">
      <c r="A23" s="20"/>
      <c r="B23" s="20"/>
      <c r="C23" s="21"/>
      <c r="D23" s="21" t="s">
        <v>139</v>
      </c>
      <c r="E23" s="31" t="s">
        <v>78</v>
      </c>
      <c r="F23" s="31">
        <v>1</v>
      </c>
      <c r="G23" s="31" t="s">
        <v>58</v>
      </c>
      <c r="H23" s="47">
        <v>1</v>
      </c>
      <c r="I23" s="45">
        <v>2500000</v>
      </c>
      <c r="J23" s="46">
        <f t="shared" si="0"/>
        <v>2500000</v>
      </c>
      <c r="K23" s="32"/>
      <c r="L23" s="29"/>
      <c r="M23" s="29"/>
      <c r="N23" s="32"/>
      <c r="O23" s="29"/>
      <c r="P23" s="29"/>
      <c r="Q23" s="35"/>
      <c r="R23" s="35"/>
    </row>
    <row r="24" spans="1:18" s="18" customFormat="1" ht="31.5" x14ac:dyDescent="0.25">
      <c r="A24" s="20"/>
      <c r="B24" s="20"/>
      <c r="C24" s="21"/>
      <c r="D24" s="21" t="s">
        <v>140</v>
      </c>
      <c r="E24" s="31" t="s">
        <v>79</v>
      </c>
      <c r="F24" s="31">
        <v>1</v>
      </c>
      <c r="G24" s="31" t="s">
        <v>58</v>
      </c>
      <c r="H24" s="47">
        <v>1</v>
      </c>
      <c r="I24" s="45">
        <v>2500000</v>
      </c>
      <c r="J24" s="46">
        <f t="shared" si="0"/>
        <v>2500000</v>
      </c>
      <c r="K24" s="32"/>
      <c r="L24" s="29"/>
      <c r="M24" s="29"/>
      <c r="N24" s="32"/>
      <c r="O24" s="29"/>
      <c r="P24" s="29"/>
      <c r="Q24" s="35"/>
      <c r="R24" s="35"/>
    </row>
    <row r="25" spans="1:18" s="18" customFormat="1" ht="31.5" x14ac:dyDescent="0.25">
      <c r="A25" s="20"/>
      <c r="B25" s="20"/>
      <c r="C25" s="21"/>
      <c r="D25" s="21" t="s">
        <v>141</v>
      </c>
      <c r="E25" s="31" t="s">
        <v>80</v>
      </c>
      <c r="F25" s="31">
        <v>1</v>
      </c>
      <c r="G25" s="31" t="s">
        <v>58</v>
      </c>
      <c r="H25" s="47">
        <v>1</v>
      </c>
      <c r="I25" s="45">
        <v>2500000</v>
      </c>
      <c r="J25" s="46">
        <f t="shared" si="0"/>
        <v>2500000</v>
      </c>
      <c r="K25" s="32"/>
      <c r="L25" s="29"/>
      <c r="M25" s="29"/>
      <c r="N25" s="32"/>
      <c r="O25" s="29"/>
      <c r="P25" s="29"/>
      <c r="Q25" s="35"/>
      <c r="R25" s="35"/>
    </row>
    <row r="26" spans="1:18" s="18" customFormat="1" ht="31.5" x14ac:dyDescent="0.25">
      <c r="A26" s="20"/>
      <c r="B26" s="20"/>
      <c r="C26" s="21"/>
      <c r="D26" s="21" t="s">
        <v>142</v>
      </c>
      <c r="E26" s="31" t="s">
        <v>81</v>
      </c>
      <c r="F26" s="31">
        <v>1</v>
      </c>
      <c r="G26" s="31" t="s">
        <v>58</v>
      </c>
      <c r="H26" s="47">
        <v>1</v>
      </c>
      <c r="I26" s="45">
        <v>2500000</v>
      </c>
      <c r="J26" s="46">
        <f t="shared" si="0"/>
        <v>2500000</v>
      </c>
      <c r="K26" s="32"/>
      <c r="L26" s="29"/>
      <c r="M26" s="29"/>
      <c r="N26" s="32"/>
      <c r="O26" s="29"/>
      <c r="P26" s="29"/>
      <c r="Q26" s="35"/>
      <c r="R26" s="35"/>
    </row>
    <row r="27" spans="1:18" s="18" customFormat="1" ht="31.5" x14ac:dyDescent="0.25">
      <c r="A27" s="20"/>
      <c r="B27" s="20"/>
      <c r="C27" s="21"/>
      <c r="D27" s="21" t="s">
        <v>143</v>
      </c>
      <c r="E27" s="31" t="s">
        <v>82</v>
      </c>
      <c r="F27" s="31">
        <v>1</v>
      </c>
      <c r="G27" s="31" t="s">
        <v>58</v>
      </c>
      <c r="H27" s="47">
        <v>1</v>
      </c>
      <c r="I27" s="45">
        <v>2500000</v>
      </c>
      <c r="J27" s="46">
        <f t="shared" si="0"/>
        <v>2500000</v>
      </c>
      <c r="K27" s="32"/>
      <c r="L27" s="29"/>
      <c r="M27" s="29"/>
      <c r="N27" s="32"/>
      <c r="O27" s="29"/>
      <c r="P27" s="29"/>
      <c r="Q27" s="35"/>
      <c r="R27" s="35"/>
    </row>
    <row r="28" spans="1:18" s="18" customFormat="1" ht="31.5" x14ac:dyDescent="0.25">
      <c r="A28" s="20"/>
      <c r="B28" s="20"/>
      <c r="C28" s="21"/>
      <c r="D28" s="21" t="s">
        <v>144</v>
      </c>
      <c r="E28" s="31" t="s">
        <v>83</v>
      </c>
      <c r="F28" s="31">
        <v>1</v>
      </c>
      <c r="G28" s="31" t="s">
        <v>58</v>
      </c>
      <c r="H28" s="47">
        <v>1</v>
      </c>
      <c r="I28" s="45">
        <v>2500000</v>
      </c>
      <c r="J28" s="46">
        <f t="shared" si="0"/>
        <v>2500000</v>
      </c>
      <c r="K28" s="32"/>
      <c r="L28" s="29"/>
      <c r="M28" s="29"/>
      <c r="N28" s="32"/>
      <c r="O28" s="29"/>
      <c r="P28" s="29"/>
      <c r="Q28" s="35"/>
      <c r="R28" s="35"/>
    </row>
    <row r="29" spans="1:18" s="18" customFormat="1" ht="31.5" x14ac:dyDescent="0.25">
      <c r="A29" s="20"/>
      <c r="B29" s="20"/>
      <c r="C29" s="21"/>
      <c r="D29" s="21" t="s">
        <v>145</v>
      </c>
      <c r="E29" s="31" t="s">
        <v>84</v>
      </c>
      <c r="F29" s="31">
        <v>1</v>
      </c>
      <c r="G29" s="31" t="s">
        <v>58</v>
      </c>
      <c r="H29" s="47">
        <v>1</v>
      </c>
      <c r="I29" s="45">
        <v>2500000</v>
      </c>
      <c r="J29" s="46">
        <f t="shared" si="0"/>
        <v>2500000</v>
      </c>
      <c r="K29" s="32"/>
      <c r="L29" s="29"/>
      <c r="M29" s="29"/>
      <c r="N29" s="32"/>
      <c r="O29" s="29"/>
      <c r="P29" s="29"/>
      <c r="Q29" s="35"/>
      <c r="R29" s="35"/>
    </row>
    <row r="30" spans="1:18" s="18" customFormat="1" ht="31.5" x14ac:dyDescent="0.25">
      <c r="A30" s="20"/>
      <c r="B30" s="20"/>
      <c r="C30" s="21"/>
      <c r="D30" s="21" t="s">
        <v>146</v>
      </c>
      <c r="E30" s="31" t="s">
        <v>85</v>
      </c>
      <c r="F30" s="31">
        <v>1</v>
      </c>
      <c r="G30" s="31" t="s">
        <v>58</v>
      </c>
      <c r="H30" s="47">
        <v>1</v>
      </c>
      <c r="I30" s="45">
        <v>2500000</v>
      </c>
      <c r="J30" s="46">
        <f t="shared" si="0"/>
        <v>2500000</v>
      </c>
      <c r="K30" s="32"/>
      <c r="L30" s="29"/>
      <c r="M30" s="29"/>
      <c r="N30" s="32"/>
      <c r="O30" s="29"/>
      <c r="P30" s="29"/>
      <c r="Q30" s="35"/>
      <c r="R30" s="35"/>
    </row>
    <row r="31" spans="1:18" s="18" customFormat="1" ht="31.5" x14ac:dyDescent="0.25">
      <c r="A31" s="20"/>
      <c r="B31" s="20"/>
      <c r="C31" s="21"/>
      <c r="D31" s="21" t="s">
        <v>147</v>
      </c>
      <c r="E31" s="31" t="s">
        <v>86</v>
      </c>
      <c r="F31" s="31">
        <v>1</v>
      </c>
      <c r="G31" s="31" t="s">
        <v>58</v>
      </c>
      <c r="H31" s="47">
        <v>1</v>
      </c>
      <c r="I31" s="45">
        <v>2500000</v>
      </c>
      <c r="J31" s="46">
        <f t="shared" si="0"/>
        <v>2500000</v>
      </c>
      <c r="K31" s="32"/>
      <c r="L31" s="29"/>
      <c r="M31" s="29"/>
      <c r="N31" s="32"/>
      <c r="O31" s="29"/>
      <c r="P31" s="29"/>
      <c r="Q31" s="35"/>
      <c r="R31" s="35"/>
    </row>
    <row r="32" spans="1:18" s="18" customFormat="1" ht="31.5" x14ac:dyDescent="0.25">
      <c r="A32" s="20"/>
      <c r="B32" s="20"/>
      <c r="C32" s="21"/>
      <c r="D32" s="21" t="s">
        <v>148</v>
      </c>
      <c r="E32" s="31" t="s">
        <v>87</v>
      </c>
      <c r="F32" s="31">
        <v>1</v>
      </c>
      <c r="G32" s="31" t="s">
        <v>58</v>
      </c>
      <c r="H32" s="47">
        <v>1</v>
      </c>
      <c r="I32" s="45">
        <v>2500000</v>
      </c>
      <c r="J32" s="46">
        <f t="shared" si="0"/>
        <v>2500000</v>
      </c>
      <c r="K32" s="32"/>
      <c r="L32" s="29"/>
      <c r="M32" s="29"/>
      <c r="N32" s="32"/>
      <c r="O32" s="29"/>
      <c r="P32" s="29"/>
      <c r="Q32" s="35"/>
      <c r="R32" s="35"/>
    </row>
    <row r="33" spans="1:18" s="18" customFormat="1" ht="31.5" x14ac:dyDescent="0.25">
      <c r="A33" s="20"/>
      <c r="B33" s="20"/>
      <c r="C33" s="21"/>
      <c r="D33" s="21" t="s">
        <v>149</v>
      </c>
      <c r="E33" s="31" t="s">
        <v>88</v>
      </c>
      <c r="F33" s="31">
        <v>1</v>
      </c>
      <c r="G33" s="31" t="s">
        <v>58</v>
      </c>
      <c r="H33" s="47">
        <v>1</v>
      </c>
      <c r="I33" s="45">
        <v>2500000</v>
      </c>
      <c r="J33" s="46">
        <f t="shared" si="0"/>
        <v>2500000</v>
      </c>
      <c r="K33" s="32"/>
      <c r="L33" s="29"/>
      <c r="M33" s="29"/>
      <c r="N33" s="32"/>
      <c r="O33" s="29"/>
      <c r="P33" s="29"/>
      <c r="Q33" s="35"/>
      <c r="R33" s="35"/>
    </row>
    <row r="34" spans="1:18" s="18" customFormat="1" ht="31.5" x14ac:dyDescent="0.25">
      <c r="A34" s="20"/>
      <c r="B34" s="20"/>
      <c r="C34" s="24" t="s">
        <v>27</v>
      </c>
      <c r="D34" s="24"/>
      <c r="E34" s="24"/>
      <c r="F34" s="25"/>
      <c r="G34" s="24"/>
      <c r="H34" s="30"/>
      <c r="I34" s="26"/>
      <c r="J34" s="26"/>
      <c r="K34" s="30"/>
      <c r="L34" s="28"/>
      <c r="M34" s="28"/>
      <c r="N34" s="30"/>
      <c r="O34" s="28"/>
      <c r="P34" s="28"/>
      <c r="Q34" s="34"/>
      <c r="R34" s="34"/>
    </row>
    <row r="35" spans="1:18" ht="31.5" x14ac:dyDescent="0.25">
      <c r="A35" s="20"/>
      <c r="B35" s="20"/>
      <c r="C35" s="21"/>
      <c r="D35" s="21" t="s">
        <v>28</v>
      </c>
      <c r="E35" s="31" t="s">
        <v>89</v>
      </c>
      <c r="F35" s="31">
        <v>1</v>
      </c>
      <c r="G35" s="31" t="s">
        <v>58</v>
      </c>
      <c r="H35" s="47">
        <v>1</v>
      </c>
      <c r="I35" s="45">
        <v>2100000</v>
      </c>
      <c r="J35" s="46">
        <f t="shared" ref="J35:J64" si="1">I35*H35</f>
        <v>2100000</v>
      </c>
      <c r="K35" s="32"/>
      <c r="L35" s="29"/>
      <c r="M35" s="29"/>
      <c r="N35" s="32"/>
      <c r="O35" s="29"/>
      <c r="P35" s="29"/>
      <c r="Q35" s="35"/>
      <c r="R35" s="35"/>
    </row>
    <row r="36" spans="1:18" ht="31.5" x14ac:dyDescent="0.25">
      <c r="A36" s="20"/>
      <c r="B36" s="20"/>
      <c r="C36" s="21"/>
      <c r="D36" s="21" t="s">
        <v>29</v>
      </c>
      <c r="E36" s="31" t="s">
        <v>90</v>
      </c>
      <c r="F36" s="31">
        <v>1</v>
      </c>
      <c r="G36" s="31" t="s">
        <v>58</v>
      </c>
      <c r="H36" s="47">
        <v>1</v>
      </c>
      <c r="I36" s="45">
        <v>2100000</v>
      </c>
      <c r="J36" s="46">
        <f t="shared" si="1"/>
        <v>2100000</v>
      </c>
      <c r="K36" s="32"/>
      <c r="L36" s="29"/>
      <c r="M36" s="29"/>
      <c r="N36" s="32"/>
      <c r="O36" s="29"/>
      <c r="P36" s="29"/>
      <c r="Q36" s="35"/>
      <c r="R36" s="35"/>
    </row>
    <row r="37" spans="1:18" ht="31.5" x14ac:dyDescent="0.25">
      <c r="A37" s="20"/>
      <c r="B37" s="20"/>
      <c r="C37" s="21"/>
      <c r="D37" s="21" t="s">
        <v>30</v>
      </c>
      <c r="E37" s="31" t="s">
        <v>91</v>
      </c>
      <c r="F37" s="31">
        <v>1</v>
      </c>
      <c r="G37" s="31" t="s">
        <v>58</v>
      </c>
      <c r="H37" s="47">
        <v>1</v>
      </c>
      <c r="I37" s="45">
        <v>2100000</v>
      </c>
      <c r="J37" s="46">
        <f t="shared" si="1"/>
        <v>2100000</v>
      </c>
      <c r="K37" s="32"/>
      <c r="L37" s="29"/>
      <c r="M37" s="29"/>
      <c r="N37" s="32"/>
      <c r="O37" s="29"/>
      <c r="P37" s="29"/>
      <c r="Q37" s="35"/>
      <c r="R37" s="35"/>
    </row>
    <row r="38" spans="1:18" ht="31.5" x14ac:dyDescent="0.25">
      <c r="A38" s="20"/>
      <c r="B38" s="20"/>
      <c r="C38" s="31"/>
      <c r="D38" s="31" t="s">
        <v>31</v>
      </c>
      <c r="E38" s="31" t="s">
        <v>92</v>
      </c>
      <c r="F38" s="31">
        <v>1</v>
      </c>
      <c r="G38" s="31" t="s">
        <v>58</v>
      </c>
      <c r="H38" s="47">
        <v>1</v>
      </c>
      <c r="I38" s="45">
        <v>2100000</v>
      </c>
      <c r="J38" s="46">
        <f t="shared" si="1"/>
        <v>2100000</v>
      </c>
      <c r="K38" s="42"/>
      <c r="L38" s="43"/>
      <c r="M38" s="43"/>
      <c r="N38" s="42"/>
      <c r="O38" s="43"/>
      <c r="P38" s="43"/>
      <c r="Q38" s="44"/>
      <c r="R38" s="44"/>
    </row>
    <row r="39" spans="1:18" ht="31.5" x14ac:dyDescent="0.25">
      <c r="A39" s="20"/>
      <c r="B39" s="20"/>
      <c r="C39" s="31"/>
      <c r="D39" s="31" t="s">
        <v>32</v>
      </c>
      <c r="E39" s="31" t="s">
        <v>93</v>
      </c>
      <c r="F39" s="31">
        <v>1</v>
      </c>
      <c r="G39" s="31" t="s">
        <v>58</v>
      </c>
      <c r="H39" s="47">
        <v>1</v>
      </c>
      <c r="I39" s="45">
        <v>2100000</v>
      </c>
      <c r="J39" s="46">
        <f t="shared" si="1"/>
        <v>2100000</v>
      </c>
      <c r="K39" s="42"/>
      <c r="L39" s="43"/>
      <c r="M39" s="43"/>
      <c r="N39" s="42"/>
      <c r="O39" s="43"/>
      <c r="P39" s="43"/>
      <c r="Q39" s="44"/>
      <c r="R39" s="44"/>
    </row>
    <row r="40" spans="1:18" ht="31.5" x14ac:dyDescent="0.25">
      <c r="A40" s="20"/>
      <c r="B40" s="20"/>
      <c r="C40" s="31"/>
      <c r="D40" s="31" t="s">
        <v>33</v>
      </c>
      <c r="E40" s="31" t="s">
        <v>94</v>
      </c>
      <c r="F40" s="31">
        <v>1</v>
      </c>
      <c r="G40" s="31" t="s">
        <v>58</v>
      </c>
      <c r="H40" s="47">
        <v>1</v>
      </c>
      <c r="I40" s="45">
        <v>2100000</v>
      </c>
      <c r="J40" s="46">
        <f t="shared" si="1"/>
        <v>2100000</v>
      </c>
      <c r="K40" s="42"/>
      <c r="L40" s="43"/>
      <c r="M40" s="43"/>
      <c r="N40" s="42"/>
      <c r="O40" s="43"/>
      <c r="P40" s="43"/>
      <c r="Q40" s="44"/>
      <c r="R40" s="44"/>
    </row>
    <row r="41" spans="1:18" ht="31.5" x14ac:dyDescent="0.25">
      <c r="A41" s="20"/>
      <c r="B41" s="20"/>
      <c r="C41" s="31"/>
      <c r="D41" s="31" t="s">
        <v>34</v>
      </c>
      <c r="E41" s="31" t="s">
        <v>95</v>
      </c>
      <c r="F41" s="31">
        <v>1</v>
      </c>
      <c r="G41" s="31" t="s">
        <v>58</v>
      </c>
      <c r="H41" s="47">
        <v>1</v>
      </c>
      <c r="I41" s="45">
        <v>2100000</v>
      </c>
      <c r="J41" s="46">
        <f t="shared" si="1"/>
        <v>2100000</v>
      </c>
      <c r="K41" s="42"/>
      <c r="L41" s="43"/>
      <c r="M41" s="43"/>
      <c r="N41" s="42"/>
      <c r="O41" s="43"/>
      <c r="P41" s="43"/>
      <c r="Q41" s="44"/>
      <c r="R41" s="44"/>
    </row>
    <row r="42" spans="1:18" ht="31.5" x14ac:dyDescent="0.25">
      <c r="A42" s="20"/>
      <c r="B42" s="20"/>
      <c r="C42" s="31"/>
      <c r="D42" s="31" t="s">
        <v>35</v>
      </c>
      <c r="E42" s="31" t="s">
        <v>96</v>
      </c>
      <c r="F42" s="31">
        <v>1</v>
      </c>
      <c r="G42" s="31" t="s">
        <v>58</v>
      </c>
      <c r="H42" s="47">
        <v>1</v>
      </c>
      <c r="I42" s="45">
        <v>2100000</v>
      </c>
      <c r="J42" s="46">
        <f t="shared" si="1"/>
        <v>2100000</v>
      </c>
      <c r="K42" s="42"/>
      <c r="L42" s="43"/>
      <c r="M42" s="43"/>
      <c r="N42" s="42"/>
      <c r="O42" s="43"/>
      <c r="P42" s="43"/>
      <c r="Q42" s="44"/>
      <c r="R42" s="44"/>
    </row>
    <row r="43" spans="1:18" ht="31.5" x14ac:dyDescent="0.25">
      <c r="A43" s="20"/>
      <c r="B43" s="20"/>
      <c r="C43" s="31"/>
      <c r="D43" s="31" t="s">
        <v>36</v>
      </c>
      <c r="E43" s="31" t="s">
        <v>97</v>
      </c>
      <c r="F43" s="31">
        <v>1</v>
      </c>
      <c r="G43" s="31" t="s">
        <v>58</v>
      </c>
      <c r="H43" s="47">
        <v>1</v>
      </c>
      <c r="I43" s="45">
        <v>2100000</v>
      </c>
      <c r="J43" s="46">
        <f t="shared" si="1"/>
        <v>2100000</v>
      </c>
      <c r="K43" s="42"/>
      <c r="L43" s="43"/>
      <c r="M43" s="43"/>
      <c r="N43" s="42"/>
      <c r="O43" s="43"/>
      <c r="P43" s="43"/>
      <c r="Q43" s="44"/>
      <c r="R43" s="44"/>
    </row>
    <row r="44" spans="1:18" ht="31.5" x14ac:dyDescent="0.25">
      <c r="A44" s="20"/>
      <c r="B44" s="20"/>
      <c r="C44" s="31"/>
      <c r="D44" s="31" t="s">
        <v>37</v>
      </c>
      <c r="E44" s="31" t="s">
        <v>98</v>
      </c>
      <c r="F44" s="31">
        <v>1</v>
      </c>
      <c r="G44" s="31" t="s">
        <v>58</v>
      </c>
      <c r="H44" s="47">
        <v>1</v>
      </c>
      <c r="I44" s="45">
        <v>2100000</v>
      </c>
      <c r="J44" s="46">
        <f t="shared" si="1"/>
        <v>2100000</v>
      </c>
      <c r="K44" s="42"/>
      <c r="L44" s="43"/>
      <c r="M44" s="43"/>
      <c r="N44" s="42"/>
      <c r="O44" s="43"/>
      <c r="P44" s="43"/>
      <c r="Q44" s="44"/>
      <c r="R44" s="44"/>
    </row>
    <row r="45" spans="1:18" ht="31.5" x14ac:dyDescent="0.25">
      <c r="A45" s="20"/>
      <c r="B45" s="20"/>
      <c r="C45" s="31"/>
      <c r="D45" s="31" t="s">
        <v>38</v>
      </c>
      <c r="E45" s="31" t="s">
        <v>99</v>
      </c>
      <c r="F45" s="31">
        <v>1</v>
      </c>
      <c r="G45" s="31" t="s">
        <v>58</v>
      </c>
      <c r="H45" s="47">
        <v>1</v>
      </c>
      <c r="I45" s="45">
        <v>2100000</v>
      </c>
      <c r="J45" s="46">
        <f t="shared" si="1"/>
        <v>2100000</v>
      </c>
      <c r="K45" s="42"/>
      <c r="L45" s="43"/>
      <c r="M45" s="43"/>
      <c r="N45" s="42"/>
      <c r="O45" s="43"/>
      <c r="P45" s="43"/>
      <c r="Q45" s="44"/>
      <c r="R45" s="44"/>
    </row>
    <row r="46" spans="1:18" ht="31.5" x14ac:dyDescent="0.25">
      <c r="A46" s="20"/>
      <c r="B46" s="20"/>
      <c r="C46" s="31"/>
      <c r="D46" s="31" t="s">
        <v>39</v>
      </c>
      <c r="E46" s="31" t="s">
        <v>100</v>
      </c>
      <c r="F46" s="31">
        <v>1</v>
      </c>
      <c r="G46" s="31" t="s">
        <v>58</v>
      </c>
      <c r="H46" s="47">
        <v>1</v>
      </c>
      <c r="I46" s="45">
        <v>2100000</v>
      </c>
      <c r="J46" s="46">
        <f t="shared" si="1"/>
        <v>2100000</v>
      </c>
      <c r="K46" s="42"/>
      <c r="L46" s="43"/>
      <c r="M46" s="43"/>
      <c r="N46" s="42"/>
      <c r="O46" s="43"/>
      <c r="P46" s="43"/>
      <c r="Q46" s="44"/>
      <c r="R46" s="44"/>
    </row>
    <row r="47" spans="1:18" ht="31.5" x14ac:dyDescent="0.25">
      <c r="A47" s="20"/>
      <c r="B47" s="20"/>
      <c r="C47" s="31"/>
      <c r="D47" s="31" t="s">
        <v>40</v>
      </c>
      <c r="E47" s="31" t="s">
        <v>101</v>
      </c>
      <c r="F47" s="31">
        <v>1</v>
      </c>
      <c r="G47" s="31" t="s">
        <v>58</v>
      </c>
      <c r="H47" s="47">
        <v>1</v>
      </c>
      <c r="I47" s="45">
        <v>2100000</v>
      </c>
      <c r="J47" s="46">
        <f t="shared" si="1"/>
        <v>2100000</v>
      </c>
      <c r="K47" s="42"/>
      <c r="L47" s="43"/>
      <c r="M47" s="43"/>
      <c r="N47" s="42"/>
      <c r="O47" s="43"/>
      <c r="P47" s="43"/>
      <c r="Q47" s="44"/>
      <c r="R47" s="44"/>
    </row>
    <row r="48" spans="1:18" ht="31.5" x14ac:dyDescent="0.25">
      <c r="A48" s="20"/>
      <c r="B48" s="20"/>
      <c r="C48" s="31"/>
      <c r="D48" s="31" t="s">
        <v>41</v>
      </c>
      <c r="E48" s="31" t="s">
        <v>102</v>
      </c>
      <c r="F48" s="31">
        <v>1</v>
      </c>
      <c r="G48" s="31" t="s">
        <v>58</v>
      </c>
      <c r="H48" s="47">
        <v>1</v>
      </c>
      <c r="I48" s="45">
        <v>2100000</v>
      </c>
      <c r="J48" s="46">
        <f t="shared" si="1"/>
        <v>2100000</v>
      </c>
      <c r="K48" s="42"/>
      <c r="L48" s="43"/>
      <c r="M48" s="43"/>
      <c r="N48" s="42"/>
      <c r="O48" s="43"/>
      <c r="P48" s="43"/>
      <c r="Q48" s="44"/>
      <c r="R48" s="44"/>
    </row>
    <row r="49" spans="1:18" ht="31.5" x14ac:dyDescent="0.25">
      <c r="A49" s="20"/>
      <c r="B49" s="20"/>
      <c r="C49" s="31"/>
      <c r="D49" s="31" t="s">
        <v>42</v>
      </c>
      <c r="E49" s="31" t="s">
        <v>103</v>
      </c>
      <c r="F49" s="31">
        <v>1</v>
      </c>
      <c r="G49" s="31" t="s">
        <v>58</v>
      </c>
      <c r="H49" s="47">
        <v>1</v>
      </c>
      <c r="I49" s="45">
        <v>2100000</v>
      </c>
      <c r="J49" s="46">
        <f t="shared" si="1"/>
        <v>2100000</v>
      </c>
      <c r="K49" s="42"/>
      <c r="L49" s="43"/>
      <c r="M49" s="43"/>
      <c r="N49" s="42"/>
      <c r="O49" s="43"/>
      <c r="P49" s="43"/>
      <c r="Q49" s="44"/>
      <c r="R49" s="44"/>
    </row>
    <row r="50" spans="1:18" ht="31.5" x14ac:dyDescent="0.25">
      <c r="A50" s="20"/>
      <c r="B50" s="20"/>
      <c r="C50" s="31"/>
      <c r="D50" s="31" t="s">
        <v>43</v>
      </c>
      <c r="E50" s="31" t="s">
        <v>104</v>
      </c>
      <c r="F50" s="31">
        <v>1</v>
      </c>
      <c r="G50" s="31" t="s">
        <v>58</v>
      </c>
      <c r="H50" s="47">
        <v>1</v>
      </c>
      <c r="I50" s="45">
        <v>2100000</v>
      </c>
      <c r="J50" s="46">
        <f t="shared" si="1"/>
        <v>2100000</v>
      </c>
      <c r="K50" s="42"/>
      <c r="L50" s="43"/>
      <c r="M50" s="43"/>
      <c r="N50" s="42"/>
      <c r="O50" s="43"/>
      <c r="P50" s="43"/>
      <c r="Q50" s="44"/>
      <c r="R50" s="44"/>
    </row>
    <row r="51" spans="1:18" ht="31.5" x14ac:dyDescent="0.25">
      <c r="A51" s="20"/>
      <c r="B51" s="20"/>
      <c r="C51" s="31"/>
      <c r="D51" s="31" t="s">
        <v>44</v>
      </c>
      <c r="E51" s="31" t="s">
        <v>105</v>
      </c>
      <c r="F51" s="31">
        <v>1</v>
      </c>
      <c r="G51" s="31" t="s">
        <v>58</v>
      </c>
      <c r="H51" s="47">
        <v>1</v>
      </c>
      <c r="I51" s="45">
        <v>2100000</v>
      </c>
      <c r="J51" s="46">
        <f t="shared" si="1"/>
        <v>2100000</v>
      </c>
      <c r="K51" s="42"/>
      <c r="L51" s="43"/>
      <c r="M51" s="43"/>
      <c r="N51" s="42"/>
      <c r="O51" s="43"/>
      <c r="P51" s="43"/>
      <c r="Q51" s="44"/>
      <c r="R51" s="44"/>
    </row>
    <row r="52" spans="1:18" ht="31.5" x14ac:dyDescent="0.25">
      <c r="A52" s="20"/>
      <c r="B52" s="20"/>
      <c r="C52" s="31"/>
      <c r="D52" s="31" t="s">
        <v>45</v>
      </c>
      <c r="E52" s="31" t="s">
        <v>106</v>
      </c>
      <c r="F52" s="31">
        <v>1</v>
      </c>
      <c r="G52" s="31" t="s">
        <v>58</v>
      </c>
      <c r="H52" s="47">
        <v>1</v>
      </c>
      <c r="I52" s="45">
        <v>2100000</v>
      </c>
      <c r="J52" s="46">
        <f t="shared" si="1"/>
        <v>2100000</v>
      </c>
      <c r="K52" s="42"/>
      <c r="L52" s="43"/>
      <c r="M52" s="43"/>
      <c r="N52" s="42"/>
      <c r="O52" s="43"/>
      <c r="P52" s="43"/>
      <c r="Q52" s="44"/>
      <c r="R52" s="44"/>
    </row>
    <row r="53" spans="1:18" ht="31.5" x14ac:dyDescent="0.25">
      <c r="A53" s="20"/>
      <c r="B53" s="20"/>
      <c r="C53" s="31"/>
      <c r="D53" s="31" t="s">
        <v>46</v>
      </c>
      <c r="E53" s="31" t="s">
        <v>107</v>
      </c>
      <c r="F53" s="31">
        <v>1</v>
      </c>
      <c r="G53" s="31" t="s">
        <v>58</v>
      </c>
      <c r="H53" s="47">
        <v>1</v>
      </c>
      <c r="I53" s="45">
        <v>2100000</v>
      </c>
      <c r="J53" s="46">
        <f t="shared" si="1"/>
        <v>2100000</v>
      </c>
      <c r="K53" s="42"/>
      <c r="L53" s="43"/>
      <c r="M53" s="43"/>
      <c r="N53" s="42"/>
      <c r="O53" s="43"/>
      <c r="P53" s="43"/>
      <c r="Q53" s="44"/>
      <c r="R53" s="44"/>
    </row>
    <row r="54" spans="1:18" ht="31.5" x14ac:dyDescent="0.25">
      <c r="A54" s="20"/>
      <c r="B54" s="20"/>
      <c r="C54" s="31"/>
      <c r="D54" s="31" t="s">
        <v>47</v>
      </c>
      <c r="E54" s="31" t="s">
        <v>108</v>
      </c>
      <c r="F54" s="31">
        <v>1</v>
      </c>
      <c r="G54" s="31" t="s">
        <v>58</v>
      </c>
      <c r="H54" s="47">
        <v>1</v>
      </c>
      <c r="I54" s="45">
        <v>2100000</v>
      </c>
      <c r="J54" s="46">
        <f t="shared" si="1"/>
        <v>2100000</v>
      </c>
      <c r="K54" s="42"/>
      <c r="L54" s="43"/>
      <c r="M54" s="43"/>
      <c r="N54" s="42"/>
      <c r="O54" s="43"/>
      <c r="P54" s="43"/>
      <c r="Q54" s="44"/>
      <c r="R54" s="44"/>
    </row>
    <row r="55" spans="1:18" ht="31.5" x14ac:dyDescent="0.25">
      <c r="A55" s="20"/>
      <c r="B55" s="20"/>
      <c r="C55" s="31"/>
      <c r="D55" s="31" t="s">
        <v>48</v>
      </c>
      <c r="E55" s="31" t="s">
        <v>109</v>
      </c>
      <c r="F55" s="31">
        <v>1</v>
      </c>
      <c r="G55" s="31" t="s">
        <v>58</v>
      </c>
      <c r="H55" s="47">
        <v>1</v>
      </c>
      <c r="I55" s="45">
        <v>2100000</v>
      </c>
      <c r="J55" s="46">
        <f t="shared" si="1"/>
        <v>2100000</v>
      </c>
      <c r="K55" s="42"/>
      <c r="L55" s="43"/>
      <c r="M55" s="43"/>
      <c r="N55" s="42"/>
      <c r="O55" s="43"/>
      <c r="P55" s="43"/>
      <c r="Q55" s="44"/>
      <c r="R55" s="44"/>
    </row>
    <row r="56" spans="1:18" ht="31.5" x14ac:dyDescent="0.25">
      <c r="A56" s="20"/>
      <c r="B56" s="20"/>
      <c r="C56" s="31"/>
      <c r="D56" s="31" t="s">
        <v>49</v>
      </c>
      <c r="E56" s="31" t="s">
        <v>110</v>
      </c>
      <c r="F56" s="31">
        <v>1</v>
      </c>
      <c r="G56" s="31" t="s">
        <v>58</v>
      </c>
      <c r="H56" s="47">
        <v>1</v>
      </c>
      <c r="I56" s="45">
        <v>2100000</v>
      </c>
      <c r="J56" s="46">
        <f t="shared" si="1"/>
        <v>2100000</v>
      </c>
      <c r="K56" s="42"/>
      <c r="L56" s="43"/>
      <c r="M56" s="43"/>
      <c r="N56" s="42"/>
      <c r="O56" s="43"/>
      <c r="P56" s="43"/>
      <c r="Q56" s="44"/>
      <c r="R56" s="44"/>
    </row>
    <row r="57" spans="1:18" ht="31.5" x14ac:dyDescent="0.25">
      <c r="A57" s="20"/>
      <c r="B57" s="20"/>
      <c r="C57" s="31"/>
      <c r="D57" s="31" t="s">
        <v>50</v>
      </c>
      <c r="E57" s="31" t="s">
        <v>111</v>
      </c>
      <c r="F57" s="31">
        <v>1</v>
      </c>
      <c r="G57" s="31" t="s">
        <v>58</v>
      </c>
      <c r="H57" s="47">
        <v>1</v>
      </c>
      <c r="I57" s="45">
        <v>2100000</v>
      </c>
      <c r="J57" s="46">
        <f t="shared" si="1"/>
        <v>2100000</v>
      </c>
      <c r="K57" s="42"/>
      <c r="L57" s="43"/>
      <c r="M57" s="43"/>
      <c r="N57" s="42"/>
      <c r="O57" s="43"/>
      <c r="P57" s="43"/>
      <c r="Q57" s="44"/>
      <c r="R57" s="44"/>
    </row>
    <row r="58" spans="1:18" ht="31.5" x14ac:dyDescent="0.25">
      <c r="A58" s="20"/>
      <c r="B58" s="20"/>
      <c r="C58" s="31"/>
      <c r="D58" s="31" t="s">
        <v>51</v>
      </c>
      <c r="E58" s="31" t="s">
        <v>112</v>
      </c>
      <c r="F58" s="31">
        <v>1</v>
      </c>
      <c r="G58" s="31" t="s">
        <v>58</v>
      </c>
      <c r="H58" s="47">
        <v>1</v>
      </c>
      <c r="I58" s="45">
        <v>2100000</v>
      </c>
      <c r="J58" s="46">
        <f t="shared" si="1"/>
        <v>2100000</v>
      </c>
      <c r="K58" s="42"/>
      <c r="L58" s="43"/>
      <c r="M58" s="43"/>
      <c r="N58" s="42"/>
      <c r="O58" s="43"/>
      <c r="P58" s="43"/>
      <c r="Q58" s="44"/>
      <c r="R58" s="44"/>
    </row>
    <row r="59" spans="1:18" ht="31.5" x14ac:dyDescent="0.25">
      <c r="A59" s="20"/>
      <c r="B59" s="20"/>
      <c r="C59" s="31"/>
      <c r="D59" s="31" t="s">
        <v>52</v>
      </c>
      <c r="E59" s="31" t="s">
        <v>113</v>
      </c>
      <c r="F59" s="31">
        <v>1</v>
      </c>
      <c r="G59" s="31" t="s">
        <v>58</v>
      </c>
      <c r="H59" s="47">
        <v>1</v>
      </c>
      <c r="I59" s="45">
        <v>2100000</v>
      </c>
      <c r="J59" s="46">
        <f t="shared" si="1"/>
        <v>2100000</v>
      </c>
      <c r="K59" s="42"/>
      <c r="L59" s="43"/>
      <c r="M59" s="43"/>
      <c r="N59" s="42"/>
      <c r="O59" s="43"/>
      <c r="P59" s="43"/>
      <c r="Q59" s="44"/>
      <c r="R59" s="44"/>
    </row>
    <row r="60" spans="1:18" ht="31.5" x14ac:dyDescent="0.25">
      <c r="A60" s="20"/>
      <c r="B60" s="20"/>
      <c r="C60" s="31"/>
      <c r="D60" s="31" t="s">
        <v>53</v>
      </c>
      <c r="E60" s="31" t="s">
        <v>114</v>
      </c>
      <c r="F60" s="31">
        <v>1</v>
      </c>
      <c r="G60" s="31" t="s">
        <v>58</v>
      </c>
      <c r="H60" s="47">
        <v>1</v>
      </c>
      <c r="I60" s="45">
        <v>2100000</v>
      </c>
      <c r="J60" s="46">
        <f t="shared" si="1"/>
        <v>2100000</v>
      </c>
      <c r="K60" s="42"/>
      <c r="L60" s="43"/>
      <c r="M60" s="43"/>
      <c r="N60" s="42"/>
      <c r="O60" s="43"/>
      <c r="P60" s="43"/>
      <c r="Q60" s="44"/>
      <c r="R60" s="44"/>
    </row>
    <row r="61" spans="1:18" ht="31.5" x14ac:dyDescent="0.25">
      <c r="A61" s="20"/>
      <c r="B61" s="20"/>
      <c r="C61" s="31"/>
      <c r="D61" s="31" t="s">
        <v>54</v>
      </c>
      <c r="E61" s="31" t="s">
        <v>115</v>
      </c>
      <c r="F61" s="31">
        <v>1</v>
      </c>
      <c r="G61" s="31" t="s">
        <v>58</v>
      </c>
      <c r="H61" s="47">
        <v>1</v>
      </c>
      <c r="I61" s="45">
        <v>2100000</v>
      </c>
      <c r="J61" s="46">
        <f t="shared" si="1"/>
        <v>2100000</v>
      </c>
      <c r="K61" s="42"/>
      <c r="L61" s="43"/>
      <c r="M61" s="43"/>
      <c r="N61" s="42"/>
      <c r="O61" s="43"/>
      <c r="P61" s="43"/>
      <c r="Q61" s="44"/>
      <c r="R61" s="44"/>
    </row>
    <row r="62" spans="1:18" ht="31.5" x14ac:dyDescent="0.25">
      <c r="A62" s="20"/>
      <c r="B62" s="20"/>
      <c r="C62" s="31"/>
      <c r="D62" s="31" t="s">
        <v>55</v>
      </c>
      <c r="E62" s="31" t="s">
        <v>116</v>
      </c>
      <c r="F62" s="31">
        <v>1</v>
      </c>
      <c r="G62" s="31" t="s">
        <v>58</v>
      </c>
      <c r="H62" s="47">
        <v>1</v>
      </c>
      <c r="I62" s="45">
        <v>2100000</v>
      </c>
      <c r="J62" s="46">
        <f t="shared" si="1"/>
        <v>2100000</v>
      </c>
      <c r="K62" s="42"/>
      <c r="L62" s="43"/>
      <c r="M62" s="43"/>
      <c r="N62" s="42"/>
      <c r="O62" s="43"/>
      <c r="P62" s="43"/>
      <c r="Q62" s="44"/>
      <c r="R62" s="44"/>
    </row>
    <row r="63" spans="1:18" ht="31.5" x14ac:dyDescent="0.25">
      <c r="A63" s="20"/>
      <c r="B63" s="20"/>
      <c r="C63" s="31"/>
      <c r="D63" s="31" t="s">
        <v>56</v>
      </c>
      <c r="E63" s="31" t="s">
        <v>117</v>
      </c>
      <c r="F63" s="31">
        <v>1</v>
      </c>
      <c r="G63" s="31" t="s">
        <v>58</v>
      </c>
      <c r="H63" s="47">
        <v>1</v>
      </c>
      <c r="I63" s="45">
        <v>2100000</v>
      </c>
      <c r="J63" s="46">
        <f t="shared" si="1"/>
        <v>2100000</v>
      </c>
      <c r="K63" s="42"/>
      <c r="L63" s="43"/>
      <c r="M63" s="43"/>
      <c r="N63" s="42"/>
      <c r="O63" s="43"/>
      <c r="P63" s="43"/>
      <c r="Q63" s="44"/>
      <c r="R63" s="44"/>
    </row>
    <row r="64" spans="1:18" ht="31.5" x14ac:dyDescent="0.25">
      <c r="A64" s="20"/>
      <c r="B64" s="20"/>
      <c r="C64" s="31"/>
      <c r="D64" s="31" t="s">
        <v>57</v>
      </c>
      <c r="E64" s="31" t="s">
        <v>118</v>
      </c>
      <c r="F64" s="31">
        <v>1</v>
      </c>
      <c r="G64" s="31" t="s">
        <v>58</v>
      </c>
      <c r="H64" s="47">
        <v>1</v>
      </c>
      <c r="I64" s="45">
        <v>2100000</v>
      </c>
      <c r="J64" s="46">
        <f t="shared" si="1"/>
        <v>2100000</v>
      </c>
      <c r="K64" s="42"/>
      <c r="L64" s="43"/>
      <c r="M64" s="43"/>
      <c r="N64" s="42"/>
      <c r="O64" s="43"/>
      <c r="P64" s="43"/>
      <c r="Q64" s="44"/>
      <c r="R64" s="44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A1:H1"/>
  <sheetViews>
    <sheetView zoomScale="85" zoomScaleNormal="85" workbookViewId="0">
      <selection activeCell="D20" sqref="D20"/>
    </sheetView>
  </sheetViews>
  <sheetFormatPr defaultRowHeight="15.75" x14ac:dyDescent="0.25"/>
  <cols>
    <col min="1" max="1" width="20.125" style="16" customWidth="1"/>
    <col min="2" max="2" width="42.5" style="4" customWidth="1"/>
    <col min="3" max="3" width="4.375" style="8" customWidth="1"/>
    <col min="4" max="4" width="20.125" style="16" customWidth="1"/>
    <col min="5" max="5" width="42.5" style="4" customWidth="1"/>
    <col min="6" max="6" width="4.375" style="8" customWidth="1"/>
    <col min="7" max="7" width="20.125" style="16" customWidth="1"/>
    <col min="8" max="8" width="42.5" style="4" customWidth="1"/>
    <col min="9" max="16384" width="9" style="7"/>
  </cols>
  <sheetData>
    <row r="1" spans="1:8" x14ac:dyDescent="0.25">
      <c r="A1" s="15" t="s">
        <v>2</v>
      </c>
      <c r="B1" s="14" t="s">
        <v>20</v>
      </c>
      <c r="D1" s="15" t="s">
        <v>2</v>
      </c>
      <c r="E1" s="14"/>
      <c r="G1" s="15" t="s">
        <v>2</v>
      </c>
      <c r="H1" s="14"/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ChiDan</vt:lpstr>
      <vt:lpstr>DataImport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2020-03-05T04:11:13Z</dcterms:created>
  <dcterms:modified xsi:type="dcterms:W3CDTF">2023-08-04T12:22:12Z</dcterms:modified>
</cp:coreProperties>
</file>